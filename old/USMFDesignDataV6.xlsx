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2c20099c48114e8/Documents/"/>
    </mc:Choice>
  </mc:AlternateContent>
  <bookViews>
    <workbookView xWindow="0" yWindow="0" windowWidth="28800" windowHeight="12435" activeTab="3"/>
  </bookViews>
  <sheets>
    <sheet name="Sheet1" sheetId="1" r:id="rId1"/>
    <sheet name="Sheet2" sheetId="2" r:id="rId2"/>
    <sheet name="Sheet3" sheetId="5" r:id="rId3"/>
    <sheet name="Sheet4" sheetId="6" r:id="rId4"/>
    <sheet name="ranks" sheetId="3" r:id="rId5"/>
    <sheet name="ground_echelons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6" i="6"/>
  <c r="C8" i="6"/>
  <c r="C43" i="6"/>
  <c r="C44" i="6"/>
  <c r="C33" i="6"/>
  <c r="C34" i="6"/>
  <c r="C35" i="6"/>
  <c r="C36" i="6"/>
  <c r="C39" i="6"/>
  <c r="C40" i="6"/>
  <c r="C42" i="6" l="1"/>
  <c r="C38" i="6"/>
  <c r="C30" i="6" s="1"/>
  <c r="C32" i="6"/>
  <c r="C29" i="6" s="1"/>
  <c r="C28" i="6" l="1"/>
  <c r="C12" i="6" s="1"/>
  <c r="C26" i="6"/>
  <c r="C15" i="6"/>
  <c r="C18" i="6"/>
  <c r="C16" i="6"/>
  <c r="C17" i="6"/>
  <c r="C22" i="6"/>
  <c r="C21" i="6"/>
  <c r="C25" i="6"/>
  <c r="C14" i="6" l="1"/>
  <c r="C24" i="6"/>
  <c r="C11" i="6" s="1"/>
  <c r="C10" i="6" s="1"/>
  <c r="C4" i="6" s="1"/>
  <c r="C2" i="6" s="1"/>
  <c r="C20" i="6"/>
  <c r="C7" i="6" s="1"/>
</calcChain>
</file>

<file path=xl/sharedStrings.xml><?xml version="1.0" encoding="utf-8"?>
<sst xmlns="http://schemas.openxmlformats.org/spreadsheetml/2006/main" count="122" uniqueCount="90">
  <si>
    <t>Squad</t>
  </si>
  <si>
    <t>Team</t>
  </si>
  <si>
    <t>Platoon</t>
  </si>
  <si>
    <t>Company</t>
  </si>
  <si>
    <t>Battalion</t>
  </si>
  <si>
    <t>Brigade</t>
  </si>
  <si>
    <t>Division</t>
  </si>
  <si>
    <t>Corps</t>
  </si>
  <si>
    <t>Army</t>
  </si>
  <si>
    <t>Private</t>
  </si>
  <si>
    <t>Corporal</t>
  </si>
  <si>
    <t>Sergeant</t>
  </si>
  <si>
    <t>Warrant Officer</t>
  </si>
  <si>
    <t>Lieutenant</t>
  </si>
  <si>
    <t>Captain</t>
  </si>
  <si>
    <t>Major</t>
  </si>
  <si>
    <t>Colonel</t>
  </si>
  <si>
    <t>General</t>
  </si>
  <si>
    <t>Marshal</t>
  </si>
  <si>
    <t>Section</t>
  </si>
  <si>
    <t>Squadron</t>
  </si>
  <si>
    <t>Crew</t>
  </si>
  <si>
    <t>Alternate Names</t>
  </si>
  <si>
    <t>Detachment</t>
  </si>
  <si>
    <t>Troop, Battery</t>
  </si>
  <si>
    <t>Regiment, Group</t>
  </si>
  <si>
    <t>Echelon</t>
  </si>
  <si>
    <t>E-1</t>
  </si>
  <si>
    <t>E-2</t>
  </si>
  <si>
    <t>E-3</t>
  </si>
  <si>
    <t>W-1</t>
  </si>
  <si>
    <t>O-1</t>
  </si>
  <si>
    <t>O-2</t>
  </si>
  <si>
    <t>O-3</t>
  </si>
  <si>
    <t>O-4</t>
  </si>
  <si>
    <t>O-5</t>
  </si>
  <si>
    <t>O-6</t>
  </si>
  <si>
    <t>Infantry Team</t>
  </si>
  <si>
    <t>Infantry Squad</t>
  </si>
  <si>
    <t>Infantry Platoon</t>
  </si>
  <si>
    <t>Infantry Company</t>
  </si>
  <si>
    <t>Combined Arms Company</t>
  </si>
  <si>
    <t>Combined Arms Brigade</t>
  </si>
  <si>
    <t>Combat Arms BN</t>
  </si>
  <si>
    <t>Combat Arms BN HQ CO</t>
  </si>
  <si>
    <t>CAV TRP</t>
  </si>
  <si>
    <t>INF CO</t>
  </si>
  <si>
    <t>EFF BTRY</t>
  </si>
  <si>
    <t>AVN TRP</t>
  </si>
  <si>
    <t>SCOUT TRP</t>
  </si>
  <si>
    <t>SPT CO</t>
  </si>
  <si>
    <t>Combat Arms BN HQ CO HQ PLT</t>
  </si>
  <si>
    <t>CMD PLT</t>
  </si>
  <si>
    <t>OPS PLT</t>
  </si>
  <si>
    <t>INT PLT</t>
  </si>
  <si>
    <t>SIG PLT</t>
  </si>
  <si>
    <t>SECTY PLT</t>
  </si>
  <si>
    <t>INF PLT</t>
  </si>
  <si>
    <t>SOF PLT</t>
  </si>
  <si>
    <t>SPT PLT</t>
  </si>
  <si>
    <t>INF CO HQ PLT</t>
  </si>
  <si>
    <t>ARM PLT</t>
  </si>
  <si>
    <t>EFF PLT</t>
  </si>
  <si>
    <t>AVN PLT</t>
  </si>
  <si>
    <t>SCOUT PLT</t>
  </si>
  <si>
    <t>Combined Arms BN HQ CO</t>
  </si>
  <si>
    <t>INF PLT HQ SQD</t>
  </si>
  <si>
    <t>INF SQD</t>
  </si>
  <si>
    <t>INF SQD HQ TM</t>
  </si>
  <si>
    <t>INF TM</t>
  </si>
  <si>
    <t># of units</t>
  </si>
  <si>
    <t>unit nomenclature</t>
  </si>
  <si>
    <t># of pax</t>
  </si>
  <si>
    <t>PLT LDR TM</t>
  </si>
  <si>
    <t>PLT SGT TM</t>
  </si>
  <si>
    <t>PLT SPT TM</t>
  </si>
  <si>
    <t>PLT TECH TM</t>
  </si>
  <si>
    <t>TM</t>
  </si>
  <si>
    <t>SQD</t>
  </si>
  <si>
    <t>HQ TM</t>
  </si>
  <si>
    <t>INF CO HQ PLT HQ SQD</t>
  </si>
  <si>
    <t>CMD SQD</t>
  </si>
  <si>
    <t>CA BN HQ CO HQ PLT</t>
  </si>
  <si>
    <t>CA BN HQ CO HQ PLT HQ SQD</t>
  </si>
  <si>
    <t>CMD PLT HQ SQD</t>
  </si>
  <si>
    <t>BN CMD PLT</t>
  </si>
  <si>
    <t>BN CO SQD</t>
  </si>
  <si>
    <t>BN NCOIC SQD</t>
  </si>
  <si>
    <t>BN XO SQD</t>
  </si>
  <si>
    <t>INF BN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</si>
</sst>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F10" sqref="F10"/>
    </sheetView>
  </sheetViews>
  <sheetFormatPr defaultRowHeight="15" x14ac:dyDescent="0.25"/>
  <cols>
    <col min="1" max="1" width="24.28515625" bestFit="1" customWidth="1"/>
    <col min="2" max="2" width="9.5703125" bestFit="1" customWidth="1"/>
    <col min="4" max="4" width="9.42578125" bestFit="1" customWidth="1"/>
    <col min="11" max="11" width="27" bestFit="1" customWidth="1"/>
    <col min="12" max="12" width="13.5703125" bestFit="1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2" max="2" width="16.140625" bestFit="1" customWidth="1"/>
  </cols>
  <sheetData>
    <row r="1" spans="1:2" x14ac:dyDescent="0.25">
      <c r="A1" t="s">
        <v>26</v>
      </c>
      <c r="B1" s="1" t="s">
        <v>22</v>
      </c>
    </row>
    <row r="2" spans="1:2" x14ac:dyDescent="0.25">
      <c r="A2" t="s">
        <v>1</v>
      </c>
      <c r="B2" t="s">
        <v>21</v>
      </c>
    </row>
    <row r="3" spans="1:2" x14ac:dyDescent="0.25">
      <c r="A3" t="s">
        <v>0</v>
      </c>
      <c r="B3" t="s">
        <v>19</v>
      </c>
    </row>
    <row r="4" spans="1:2" x14ac:dyDescent="0.25">
      <c r="A4" t="s">
        <v>2</v>
      </c>
      <c r="B4" t="s">
        <v>23</v>
      </c>
    </row>
    <row r="5" spans="1:2" x14ac:dyDescent="0.25">
      <c r="A5" t="s">
        <v>3</v>
      </c>
      <c r="B5" t="s">
        <v>24</v>
      </c>
    </row>
    <row r="6" spans="1:2" x14ac:dyDescent="0.25">
      <c r="A6" t="s">
        <v>4</v>
      </c>
      <c r="B6" t="s">
        <v>20</v>
      </c>
    </row>
    <row r="7" spans="1:2" x14ac:dyDescent="0.25">
      <c r="A7" t="s">
        <v>5</v>
      </c>
      <c r="B7" t="s">
        <v>25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30" sqref="B30"/>
    </sheetView>
  </sheetViews>
  <sheetFormatPr defaultRowHeight="15" x14ac:dyDescent="0.25"/>
  <cols>
    <col min="2" max="2" width="29.140625" bestFit="1" customWidth="1"/>
  </cols>
  <sheetData>
    <row r="1" spans="1:2" x14ac:dyDescent="0.25">
      <c r="B1" s="1" t="s">
        <v>43</v>
      </c>
    </row>
    <row r="2" spans="1:2" x14ac:dyDescent="0.25">
      <c r="A2">
        <v>1</v>
      </c>
      <c r="B2" t="s">
        <v>44</v>
      </c>
    </row>
    <row r="3" spans="1:2" x14ac:dyDescent="0.25">
      <c r="A3">
        <v>2</v>
      </c>
      <c r="B3" t="s">
        <v>46</v>
      </c>
    </row>
    <row r="4" spans="1:2" x14ac:dyDescent="0.25">
      <c r="A4">
        <v>2</v>
      </c>
      <c r="B4" t="s">
        <v>45</v>
      </c>
    </row>
    <row r="5" spans="1:2" x14ac:dyDescent="0.25">
      <c r="A5">
        <v>1</v>
      </c>
      <c r="B5" t="s">
        <v>47</v>
      </c>
    </row>
    <row r="6" spans="1:2" x14ac:dyDescent="0.25">
      <c r="A6">
        <v>1</v>
      </c>
      <c r="B6" t="s">
        <v>48</v>
      </c>
    </row>
    <row r="7" spans="1:2" x14ac:dyDescent="0.25">
      <c r="A7">
        <v>1</v>
      </c>
      <c r="B7" t="s">
        <v>49</v>
      </c>
    </row>
    <row r="8" spans="1:2" x14ac:dyDescent="0.25">
      <c r="A8">
        <v>1</v>
      </c>
      <c r="B8" t="s">
        <v>50</v>
      </c>
    </row>
    <row r="10" spans="1:2" x14ac:dyDescent="0.25">
      <c r="B10" s="1" t="s">
        <v>44</v>
      </c>
    </row>
    <row r="11" spans="1:2" x14ac:dyDescent="0.25">
      <c r="A11">
        <v>1</v>
      </c>
      <c r="B11" t="s">
        <v>51</v>
      </c>
    </row>
    <row r="12" spans="1:2" x14ac:dyDescent="0.25">
      <c r="A12">
        <v>1</v>
      </c>
      <c r="B12" t="s">
        <v>52</v>
      </c>
    </row>
    <row r="13" spans="1:2" x14ac:dyDescent="0.25">
      <c r="A13">
        <v>1</v>
      </c>
      <c r="B13" t="s">
        <v>53</v>
      </c>
    </row>
    <row r="14" spans="1:2" x14ac:dyDescent="0.25">
      <c r="A14">
        <v>1</v>
      </c>
      <c r="B14" t="s">
        <v>54</v>
      </c>
    </row>
    <row r="15" spans="1:2" x14ac:dyDescent="0.25">
      <c r="A15">
        <v>1</v>
      </c>
      <c r="B15" t="s">
        <v>55</v>
      </c>
    </row>
    <row r="16" spans="1:2" x14ac:dyDescent="0.25">
      <c r="A16">
        <v>1</v>
      </c>
      <c r="B16" t="s">
        <v>56</v>
      </c>
    </row>
    <row r="17" spans="1:2" x14ac:dyDescent="0.25">
      <c r="A17">
        <v>1</v>
      </c>
      <c r="B17" t="s">
        <v>57</v>
      </c>
    </row>
    <row r="18" spans="1:2" x14ac:dyDescent="0.25">
      <c r="A18">
        <v>1</v>
      </c>
      <c r="B18" t="s">
        <v>58</v>
      </c>
    </row>
    <row r="19" spans="1:2" x14ac:dyDescent="0.25">
      <c r="A19">
        <v>1</v>
      </c>
      <c r="B19" t="s">
        <v>59</v>
      </c>
    </row>
    <row r="21" spans="1:2" x14ac:dyDescent="0.25">
      <c r="B21" s="1" t="s">
        <v>46</v>
      </c>
    </row>
    <row r="22" spans="1:2" x14ac:dyDescent="0.25">
      <c r="A22">
        <v>1</v>
      </c>
      <c r="B22" t="s">
        <v>60</v>
      </c>
    </row>
    <row r="23" spans="1:2" x14ac:dyDescent="0.25">
      <c r="A23">
        <v>3</v>
      </c>
      <c r="B23" t="s">
        <v>57</v>
      </c>
    </row>
    <row r="24" spans="1:2" x14ac:dyDescent="0.25">
      <c r="A24">
        <v>1</v>
      </c>
      <c r="B24" t="s">
        <v>61</v>
      </c>
    </row>
    <row r="25" spans="1:2" x14ac:dyDescent="0.25">
      <c r="A25">
        <v>1</v>
      </c>
      <c r="B25" t="s">
        <v>62</v>
      </c>
    </row>
    <row r="26" spans="1:2" x14ac:dyDescent="0.25">
      <c r="A26">
        <v>1</v>
      </c>
      <c r="B26" t="s">
        <v>63</v>
      </c>
    </row>
    <row r="27" spans="1:2" x14ac:dyDescent="0.25">
      <c r="A27">
        <v>1</v>
      </c>
      <c r="B27" t="s">
        <v>64</v>
      </c>
    </row>
    <row r="28" spans="1:2" x14ac:dyDescent="0.25">
      <c r="A28">
        <v>1</v>
      </c>
      <c r="B28" t="s">
        <v>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B3" sqref="B3"/>
    </sheetView>
  </sheetViews>
  <sheetFormatPr defaultRowHeight="15" x14ac:dyDescent="0.25"/>
  <cols>
    <col min="2" max="2" width="27" bestFit="1" customWidth="1"/>
    <col min="3" max="3" width="7.85546875" bestFit="1" customWidth="1"/>
  </cols>
  <sheetData>
    <row r="1" spans="1:3" x14ac:dyDescent="0.25">
      <c r="A1" s="1" t="s">
        <v>70</v>
      </c>
      <c r="B1" s="1" t="s">
        <v>71</v>
      </c>
      <c r="C1" s="1" t="s">
        <v>72</v>
      </c>
    </row>
    <row r="2" spans="1:3" x14ac:dyDescent="0.25">
      <c r="B2" s="1" t="s">
        <v>89</v>
      </c>
      <c r="C2" s="1">
        <f>SUM(C3:C4)</f>
        <v>384</v>
      </c>
    </row>
    <row r="3" spans="1:3" x14ac:dyDescent="0.25">
      <c r="A3">
        <v>1</v>
      </c>
      <c r="B3" t="s">
        <v>65</v>
      </c>
      <c r="C3">
        <f>C6*A3</f>
        <v>48</v>
      </c>
    </row>
    <row r="4" spans="1:3" x14ac:dyDescent="0.25">
      <c r="A4">
        <v>3</v>
      </c>
      <c r="B4" t="s">
        <v>46</v>
      </c>
      <c r="C4">
        <f>C10*A4</f>
        <v>336</v>
      </c>
    </row>
    <row r="6" spans="1:3" x14ac:dyDescent="0.25">
      <c r="B6" s="1" t="s">
        <v>65</v>
      </c>
      <c r="C6" s="1">
        <f>SUM(C7:C8)</f>
        <v>48</v>
      </c>
    </row>
    <row r="7" spans="1:3" x14ac:dyDescent="0.25">
      <c r="A7">
        <v>1</v>
      </c>
      <c r="B7" t="s">
        <v>82</v>
      </c>
      <c r="C7">
        <f>C20*A7</f>
        <v>16</v>
      </c>
    </row>
    <row r="8" spans="1:3" x14ac:dyDescent="0.25">
      <c r="A8">
        <v>1</v>
      </c>
      <c r="B8" t="s">
        <v>85</v>
      </c>
      <c r="C8">
        <f>C14*A8</f>
        <v>32</v>
      </c>
    </row>
    <row r="10" spans="1:3" x14ac:dyDescent="0.25">
      <c r="B10" s="1" t="s">
        <v>46</v>
      </c>
      <c r="C10" s="1">
        <f>SUM(C11:C12)</f>
        <v>112</v>
      </c>
    </row>
    <row r="11" spans="1:3" x14ac:dyDescent="0.25">
      <c r="A11">
        <v>1</v>
      </c>
      <c r="B11" t="s">
        <v>60</v>
      </c>
      <c r="C11">
        <f>C24*A11</f>
        <v>16</v>
      </c>
    </row>
    <row r="12" spans="1:3" x14ac:dyDescent="0.25">
      <c r="A12">
        <v>3</v>
      </c>
      <c r="B12" t="s">
        <v>57</v>
      </c>
      <c r="C12">
        <f>C28*A12</f>
        <v>96</v>
      </c>
    </row>
    <row r="14" spans="1:3" x14ac:dyDescent="0.25">
      <c r="B14" s="1" t="s">
        <v>85</v>
      </c>
      <c r="C14" s="1">
        <f>SUM(C15:C18)</f>
        <v>32</v>
      </c>
    </row>
    <row r="15" spans="1:3" x14ac:dyDescent="0.25">
      <c r="A15">
        <v>1</v>
      </c>
      <c r="B15" t="s">
        <v>84</v>
      </c>
      <c r="C15">
        <f>C42*A15</f>
        <v>8</v>
      </c>
    </row>
    <row r="16" spans="1:3" x14ac:dyDescent="0.25">
      <c r="A16">
        <v>1</v>
      </c>
      <c r="B16" t="s">
        <v>86</v>
      </c>
      <c r="C16">
        <f>C42*A16</f>
        <v>8</v>
      </c>
    </row>
    <row r="17" spans="1:3" x14ac:dyDescent="0.25">
      <c r="A17">
        <v>1</v>
      </c>
      <c r="B17" t="s">
        <v>87</v>
      </c>
      <c r="C17">
        <f>C42*A17</f>
        <v>8</v>
      </c>
    </row>
    <row r="18" spans="1:3" x14ac:dyDescent="0.25">
      <c r="A18">
        <v>1</v>
      </c>
      <c r="B18" t="s">
        <v>88</v>
      </c>
      <c r="C18">
        <f>C42*A18</f>
        <v>8</v>
      </c>
    </row>
    <row r="20" spans="1:3" x14ac:dyDescent="0.25">
      <c r="B20" s="1" t="s">
        <v>82</v>
      </c>
      <c r="C20" s="1">
        <f>SUM(C21:C22)</f>
        <v>16</v>
      </c>
    </row>
    <row r="21" spans="1:3" x14ac:dyDescent="0.25">
      <c r="A21">
        <v>1</v>
      </c>
      <c r="B21" t="s">
        <v>83</v>
      </c>
      <c r="C21">
        <f>A21*C38</f>
        <v>8</v>
      </c>
    </row>
    <row r="22" spans="1:3" x14ac:dyDescent="0.25">
      <c r="A22">
        <v>1</v>
      </c>
      <c r="B22" t="s">
        <v>81</v>
      </c>
      <c r="C22">
        <f>C38*A22</f>
        <v>8</v>
      </c>
    </row>
    <row r="24" spans="1:3" x14ac:dyDescent="0.25">
      <c r="B24" s="1" t="s">
        <v>60</v>
      </c>
      <c r="C24" s="1">
        <f>SUM(C25:C26)</f>
        <v>16</v>
      </c>
    </row>
    <row r="25" spans="1:3" x14ac:dyDescent="0.25">
      <c r="A25">
        <v>1</v>
      </c>
      <c r="B25" t="s">
        <v>80</v>
      </c>
      <c r="C25">
        <f>A25*C42</f>
        <v>8</v>
      </c>
    </row>
    <row r="26" spans="1:3" x14ac:dyDescent="0.25">
      <c r="A26">
        <v>1</v>
      </c>
      <c r="B26" t="s">
        <v>81</v>
      </c>
      <c r="C26">
        <f>C42*A26</f>
        <v>8</v>
      </c>
    </row>
    <row r="28" spans="1:3" x14ac:dyDescent="0.25">
      <c r="B28" s="1" t="s">
        <v>57</v>
      </c>
      <c r="C28" s="1">
        <f>SUM(C29:C30)</f>
        <v>32</v>
      </c>
    </row>
    <row r="29" spans="1:3" x14ac:dyDescent="0.25">
      <c r="A29">
        <v>1</v>
      </c>
      <c r="B29" t="s">
        <v>66</v>
      </c>
      <c r="C29">
        <f>C32*A29</f>
        <v>8</v>
      </c>
    </row>
    <row r="30" spans="1:3" x14ac:dyDescent="0.25">
      <c r="A30">
        <v>3</v>
      </c>
      <c r="B30" t="s">
        <v>67</v>
      </c>
      <c r="C30">
        <f>C38*A30</f>
        <v>24</v>
      </c>
    </row>
    <row r="32" spans="1:3" x14ac:dyDescent="0.25">
      <c r="B32" s="1" t="s">
        <v>66</v>
      </c>
      <c r="C32" s="1">
        <f>SUM(C33:C36)</f>
        <v>8</v>
      </c>
    </row>
    <row r="33" spans="1:3" x14ac:dyDescent="0.25">
      <c r="A33">
        <v>1</v>
      </c>
      <c r="B33" t="s">
        <v>73</v>
      </c>
      <c r="C33">
        <f>C49*A33</f>
        <v>2</v>
      </c>
    </row>
    <row r="34" spans="1:3" x14ac:dyDescent="0.25">
      <c r="A34">
        <v>1</v>
      </c>
      <c r="B34" t="s">
        <v>74</v>
      </c>
      <c r="C34">
        <f>C49*A34</f>
        <v>2</v>
      </c>
    </row>
    <row r="35" spans="1:3" x14ac:dyDescent="0.25">
      <c r="A35">
        <v>1</v>
      </c>
      <c r="B35" t="s">
        <v>75</v>
      </c>
      <c r="C35">
        <f>C49*A35</f>
        <v>2</v>
      </c>
    </row>
    <row r="36" spans="1:3" x14ac:dyDescent="0.25">
      <c r="A36">
        <v>1</v>
      </c>
      <c r="B36" t="s">
        <v>76</v>
      </c>
      <c r="C36">
        <f>C49*1</f>
        <v>2</v>
      </c>
    </row>
    <row r="38" spans="1:3" x14ac:dyDescent="0.25">
      <c r="B38" s="1" t="s">
        <v>67</v>
      </c>
      <c r="C38" s="1">
        <f>SUM(C39:C40)</f>
        <v>8</v>
      </c>
    </row>
    <row r="39" spans="1:3" x14ac:dyDescent="0.25">
      <c r="A39">
        <v>1</v>
      </c>
      <c r="B39" t="s">
        <v>68</v>
      </c>
      <c r="C39">
        <f>C47*A39</f>
        <v>2</v>
      </c>
    </row>
    <row r="40" spans="1:3" x14ac:dyDescent="0.25">
      <c r="A40">
        <v>3</v>
      </c>
      <c r="B40" t="s">
        <v>69</v>
      </c>
      <c r="C40">
        <f>C46*A40</f>
        <v>6</v>
      </c>
    </row>
    <row r="42" spans="1:3" x14ac:dyDescent="0.25">
      <c r="B42" s="1" t="s">
        <v>78</v>
      </c>
      <c r="C42" s="1">
        <f>SUM(C43:C44)</f>
        <v>8</v>
      </c>
    </row>
    <row r="43" spans="1:3" x14ac:dyDescent="0.25">
      <c r="A43">
        <v>1</v>
      </c>
      <c r="B43" t="s">
        <v>79</v>
      </c>
      <c r="C43">
        <f>C48*A43</f>
        <v>2</v>
      </c>
    </row>
    <row r="44" spans="1:3" x14ac:dyDescent="0.25">
      <c r="A44">
        <v>3</v>
      </c>
      <c r="B44" t="s">
        <v>77</v>
      </c>
      <c r="C44">
        <f>C49*A44</f>
        <v>6</v>
      </c>
    </row>
    <row r="46" spans="1:3" x14ac:dyDescent="0.25">
      <c r="A46">
        <v>1</v>
      </c>
      <c r="B46" s="1" t="s">
        <v>69</v>
      </c>
      <c r="C46" s="1">
        <v>2</v>
      </c>
    </row>
    <row r="47" spans="1:3" x14ac:dyDescent="0.25">
      <c r="A47">
        <v>1</v>
      </c>
      <c r="B47" s="1" t="s">
        <v>68</v>
      </c>
      <c r="C47" s="1">
        <v>2</v>
      </c>
    </row>
    <row r="48" spans="1:3" x14ac:dyDescent="0.25">
      <c r="A48">
        <v>1</v>
      </c>
      <c r="B48" s="1" t="s">
        <v>79</v>
      </c>
      <c r="C48" s="1">
        <v>2</v>
      </c>
    </row>
    <row r="49" spans="1:3" x14ac:dyDescent="0.25">
      <c r="A49">
        <v>1</v>
      </c>
      <c r="B49" s="1" t="s">
        <v>77</v>
      </c>
      <c r="C49" s="1">
        <v>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11" sqref="A11"/>
    </sheetView>
  </sheetViews>
  <sheetFormatPr defaultRowHeight="15" x14ac:dyDescent="0.25"/>
  <cols>
    <col min="2" max="2" width="14.85546875" bestFit="1" customWidth="1"/>
  </cols>
  <sheetData>
    <row r="1" spans="1:2" x14ac:dyDescent="0.25">
      <c r="A1" t="s">
        <v>27</v>
      </c>
      <c r="B1" t="s">
        <v>9</v>
      </c>
    </row>
    <row r="2" spans="1:2" x14ac:dyDescent="0.25">
      <c r="A2" t="s">
        <v>28</v>
      </c>
      <c r="B2" t="s">
        <v>10</v>
      </c>
    </row>
    <row r="3" spans="1:2" x14ac:dyDescent="0.25">
      <c r="A3" t="s">
        <v>29</v>
      </c>
      <c r="B3" t="s">
        <v>11</v>
      </c>
    </row>
    <row r="4" spans="1:2" x14ac:dyDescent="0.25">
      <c r="A4" t="s">
        <v>30</v>
      </c>
      <c r="B4" t="s">
        <v>12</v>
      </c>
    </row>
    <row r="5" spans="1:2" x14ac:dyDescent="0.25">
      <c r="A5" t="s">
        <v>31</v>
      </c>
      <c r="B5" t="s">
        <v>13</v>
      </c>
    </row>
    <row r="6" spans="1:2" x14ac:dyDescent="0.25">
      <c r="A6" t="s">
        <v>32</v>
      </c>
      <c r="B6" t="s">
        <v>14</v>
      </c>
    </row>
    <row r="7" spans="1:2" x14ac:dyDescent="0.25">
      <c r="A7" t="s">
        <v>33</v>
      </c>
      <c r="B7" t="s">
        <v>15</v>
      </c>
    </row>
    <row r="8" spans="1:2" x14ac:dyDescent="0.25">
      <c r="A8" t="s">
        <v>34</v>
      </c>
      <c r="B8" t="s">
        <v>16</v>
      </c>
    </row>
    <row r="9" spans="1:2" x14ac:dyDescent="0.25">
      <c r="A9" t="s">
        <v>35</v>
      </c>
      <c r="B9" t="s">
        <v>17</v>
      </c>
    </row>
    <row r="10" spans="1:2" x14ac:dyDescent="0.25">
      <c r="A10" t="s">
        <v>36</v>
      </c>
      <c r="B10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10" sqref="A10"/>
    </sheetView>
  </sheetViews>
  <sheetFormatPr defaultRowHeight="15" x14ac:dyDescent="0.25"/>
  <cols>
    <col min="1" max="1" width="2" bestFit="1" customWidth="1"/>
  </cols>
  <sheetData>
    <row r="1" spans="1:2" x14ac:dyDescent="0.25">
      <c r="A1">
        <v>1</v>
      </c>
      <c r="B1" t="s">
        <v>1</v>
      </c>
    </row>
    <row r="2" spans="1:2" x14ac:dyDescent="0.25">
      <c r="A2">
        <v>2</v>
      </c>
      <c r="B2" t="s">
        <v>0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ranks</vt:lpstr>
      <vt:lpstr>ground_echelons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2015-06-20T01:57:31Z</dcterms:created>
  <dcterms:modified xsi:type="dcterms:W3CDTF">2015-06-30T23:49:12Z</dcterms:modified>
</cp:coreProperties>
</file>