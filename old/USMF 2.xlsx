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840" windowWidth="18615" windowHeight="7605" activeTab="4"/>
  </bookViews>
  <sheets>
    <sheet name="Sheet4" sheetId="1" r:id="rId1"/>
    <sheet name="Sheet1" sheetId="2" r:id="rId2"/>
    <sheet name="Sheet2" sheetId="3" r:id="rId3"/>
    <sheet name="Sheet3" sheetId="4" r:id="rId4"/>
    <sheet name="Sheet5" sheetId="5" r:id="rId5"/>
  </sheets>
  <definedNames>
    <definedName name="Attached_Units">Sheet1!$O$39</definedName>
  </definedNames>
  <calcPr calcId="125725"/>
  <fileRecoveryPr repairLoad="1"/>
</workbook>
</file>

<file path=xl/calcChain.xml><?xml version="1.0" encoding="utf-8"?>
<calcChain xmlns="http://schemas.openxmlformats.org/spreadsheetml/2006/main">
  <c r="I20" i="5"/>
  <c r="I21"/>
  <c r="I50"/>
  <c r="I55"/>
  <c r="I54"/>
  <c r="I53"/>
  <c r="I52"/>
  <c r="I51"/>
  <c r="I19"/>
  <c r="I44"/>
  <c r="I49"/>
  <c r="I48"/>
  <c r="I47"/>
  <c r="I46"/>
  <c r="I45"/>
  <c r="I18"/>
  <c r="I40"/>
  <c r="I43"/>
  <c r="I42"/>
  <c r="I41"/>
  <c r="I17"/>
  <c r="I15"/>
  <c r="I39"/>
  <c r="F24"/>
  <c r="F22" s="1"/>
  <c r="F21" s="1"/>
  <c r="Q54" l="1"/>
  <c r="Q56"/>
  <c r="I25"/>
  <c r="I31"/>
  <c r="I33"/>
  <c r="I35"/>
  <c r="I37"/>
  <c r="Q53"/>
  <c r="Q55"/>
  <c r="I26"/>
  <c r="I28"/>
  <c r="I30"/>
  <c r="I32"/>
  <c r="I34"/>
  <c r="I38"/>
  <c r="I27"/>
  <c r="Q26"/>
  <c r="Q31"/>
  <c r="Q35"/>
  <c r="Q39"/>
  <c r="Q43"/>
  <c r="Q45"/>
  <c r="Q49"/>
  <c r="Q25"/>
  <c r="Q27"/>
  <c r="Q30"/>
  <c r="Q32"/>
  <c r="Q34"/>
  <c r="Q38"/>
  <c r="Q42"/>
  <c r="Q46"/>
  <c r="Q48"/>
  <c r="Q50"/>
  <c r="Q28"/>
  <c r="Q33"/>
  <c r="Q37"/>
  <c r="Q41"/>
  <c r="Q47"/>
  <c r="Q51"/>
  <c r="O33"/>
  <c r="O36"/>
  <c r="O40"/>
  <c r="O44"/>
  <c r="O32"/>
  <c r="O38"/>
  <c r="O42"/>
  <c r="O31"/>
  <c r="O35"/>
  <c r="O37"/>
  <c r="O41"/>
  <c r="O43"/>
  <c r="O25"/>
  <c r="O27"/>
  <c r="O29"/>
  <c r="M28"/>
  <c r="O26"/>
  <c r="O28"/>
  <c r="M37"/>
  <c r="K32"/>
  <c r="K35"/>
  <c r="K37"/>
  <c r="K39"/>
  <c r="M43"/>
  <c r="M41"/>
  <c r="M47"/>
  <c r="M49"/>
  <c r="M33"/>
  <c r="K31"/>
  <c r="K33"/>
  <c r="K36"/>
  <c r="K38"/>
  <c r="K40"/>
  <c r="M44"/>
  <c r="M40"/>
  <c r="M46"/>
  <c r="M48"/>
  <c r="M50"/>
  <c r="M39"/>
  <c r="M18" s="1"/>
  <c r="M32"/>
  <c r="M34"/>
  <c r="M36"/>
  <c r="M38"/>
  <c r="M25"/>
  <c r="M30"/>
  <c r="M27"/>
  <c r="M26"/>
  <c r="M29"/>
  <c r="K25"/>
  <c r="K43"/>
  <c r="K27"/>
  <c r="K45"/>
  <c r="K28"/>
  <c r="K42"/>
  <c r="K44"/>
  <c r="K46"/>
  <c r="K26"/>
  <c r="K29"/>
  <c r="F20"/>
  <c r="F19" s="1"/>
  <c r="Q40" l="1"/>
  <c r="Q18" s="1"/>
  <c r="I36"/>
  <c r="I24"/>
  <c r="O39"/>
  <c r="O18" s="1"/>
  <c r="O34"/>
  <c r="O17" s="1"/>
  <c r="Q36"/>
  <c r="Q17" s="1"/>
  <c r="I29"/>
  <c r="I16" s="1"/>
  <c r="Q52"/>
  <c r="Q20" s="1"/>
  <c r="Q29"/>
  <c r="Q16" s="1"/>
  <c r="Q24"/>
  <c r="Q15" s="1"/>
  <c r="Q44"/>
  <c r="Q19" s="1"/>
  <c r="K34"/>
  <c r="K17" s="1"/>
  <c r="O30"/>
  <c r="O16" s="1"/>
  <c r="K30"/>
  <c r="K16" s="1"/>
  <c r="O24"/>
  <c r="O15" s="1"/>
  <c r="M24"/>
  <c r="M15" s="1"/>
  <c r="M45"/>
  <c r="M20" s="1"/>
  <c r="M42"/>
  <c r="M19" s="1"/>
  <c r="M35"/>
  <c r="M17" s="1"/>
  <c r="M31"/>
  <c r="M16" s="1"/>
  <c r="I22"/>
  <c r="K24"/>
  <c r="K15" s="1"/>
  <c r="K41"/>
  <c r="K18" s="1"/>
  <c r="F17"/>
  <c r="F18"/>
  <c r="I14" l="1"/>
  <c r="K6" s="1"/>
  <c r="Q14"/>
  <c r="K10" s="1"/>
  <c r="O14"/>
  <c r="K9" s="1"/>
  <c r="K14"/>
  <c r="K7" s="1"/>
  <c r="M14"/>
  <c r="K8" s="1"/>
  <c r="F16"/>
  <c r="M11" l="1"/>
  <c r="M9"/>
  <c r="M7"/>
  <c r="M10"/>
  <c r="M8"/>
  <c r="M6"/>
  <c r="I11"/>
  <c r="I9"/>
  <c r="I7"/>
  <c r="I12"/>
  <c r="I10"/>
  <c r="I8"/>
  <c r="I6"/>
  <c r="K5"/>
  <c r="F15"/>
  <c r="F14"/>
  <c r="M5" l="1"/>
  <c r="I4" s="1"/>
  <c r="I5"/>
  <c r="I2" s="1"/>
  <c r="I3"/>
  <c r="F13"/>
  <c r="F11" s="1"/>
  <c r="F12" l="1"/>
  <c r="F10" s="1"/>
  <c r="F9" s="1"/>
  <c r="I1"/>
  <c r="F2"/>
  <c r="F8"/>
  <c r="F5"/>
  <c r="F7" l="1"/>
  <c r="F6" s="1"/>
  <c r="F4" s="1"/>
  <c r="F3" s="1"/>
  <c r="F1" s="1"/>
</calcChain>
</file>

<file path=xl/sharedStrings.xml><?xml version="1.0" encoding="utf-8"?>
<sst xmlns="http://schemas.openxmlformats.org/spreadsheetml/2006/main" count="2298" uniqueCount="1752">
  <si>
    <t>I Corps</t>
  </si>
  <si>
    <t>III Corps</t>
  </si>
  <si>
    <t>XVIII Abn Corps</t>
  </si>
  <si>
    <r>
      <t>173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ABN BCT</t>
    </r>
  </si>
  <si>
    <r>
      <t>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ACR</t>
    </r>
  </si>
  <si>
    <r>
      <t>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SCR</t>
    </r>
  </si>
  <si>
    <r>
      <t>11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ACR</t>
    </r>
  </si>
  <si>
    <r>
      <t>170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IN BDE</t>
    </r>
  </si>
  <si>
    <r>
      <t>45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SB</t>
    </r>
  </si>
  <si>
    <r>
      <t>172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IN BDE</t>
    </r>
  </si>
  <si>
    <r>
      <t>507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SB</t>
    </r>
  </si>
  <si>
    <t>HQ, Aviation Depot Maintenance Roundout Unit (MD)</t>
  </si>
  <si>
    <t xml:space="preserve">    * 1106th Theater Aviation Maintenance Sustainment Group (CA)</t>
  </si>
  <si>
    <t xml:space="preserve">    * 1107th Theater Aviation Maintenance Sustainment Group (MO)</t>
  </si>
  <si>
    <t>II Corps</t>
  </si>
  <si>
    <t>IV Corps</t>
  </si>
  <si>
    <t>V Corps</t>
  </si>
  <si>
    <t xml:space="preserve">    * 1108th Theater Aviation Maintenance Sustainment Group (MS)</t>
  </si>
  <si>
    <r>
      <t>28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(NG)</t>
    </r>
  </si>
  <si>
    <r>
      <t>35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(NG)</t>
    </r>
  </si>
  <si>
    <r>
      <t>40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(NG)</t>
    </r>
  </si>
  <si>
    <t xml:space="preserve">    * 1109th Theater Aviation Maintenance Sustainment Group (CT)</t>
  </si>
  <si>
    <r>
      <t>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HBCT (PANG)</t>
    </r>
  </si>
  <si>
    <r>
      <t>33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IBCT (ILNG)</t>
    </r>
  </si>
  <si>
    <r>
      <t>29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(HING)</t>
    </r>
  </si>
  <si>
    <r>
      <t>53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IBCT (FL NG)</t>
    </r>
  </si>
  <si>
    <r>
      <t>45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(OKNG)</t>
    </r>
  </si>
  <si>
    <r>
      <t>40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(CANG)</t>
    </r>
  </si>
  <si>
    <t>[edit] Maneuver Enhancement Brigades</t>
  </si>
  <si>
    <r>
      <t>55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HBCT (PANG)</t>
    </r>
  </si>
  <si>
    <r>
      <t>48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(GANG)</t>
    </r>
  </si>
  <si>
    <r>
      <t>41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IBCT (ORNG)</t>
    </r>
  </si>
  <si>
    <r>
      <t>56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SBCT (PANG)</t>
    </r>
  </si>
  <si>
    <r>
      <t>35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CAB</t>
    </r>
  </si>
  <si>
    <r>
      <t>81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HBCT (WANG)</t>
    </r>
  </si>
  <si>
    <t xml:space="preserve">    * 26th Maneuver Enhancement Brigade, Massachusetts</t>
  </si>
  <si>
    <r>
      <t>28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CAB</t>
    </r>
  </si>
  <si>
    <r>
      <t>36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(NG)</t>
    </r>
  </si>
  <si>
    <r>
      <t>40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(CANG)</t>
    </r>
  </si>
  <si>
    <t xml:space="preserve">    * 92nd Maneuver Enhancement Brigade, Puerto Rico</t>
  </si>
  <si>
    <r>
      <t>29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(NG)</t>
    </r>
  </si>
  <si>
    <r>
      <t>39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(ARNG)</t>
    </r>
  </si>
  <si>
    <r>
      <t>42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ID (NG)</t>
    </r>
  </si>
  <si>
    <t xml:space="preserve">    * 110th Maneuver Enhancement Brigade, Missouri</t>
  </si>
  <si>
    <r>
      <t>30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HBCT (NCNG)</t>
    </r>
  </si>
  <si>
    <r>
      <t>56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(TXNG)</t>
    </r>
  </si>
  <si>
    <r>
      <t>27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(NYNG)</t>
    </r>
  </si>
  <si>
    <t xml:space="preserve">    * 111th Maneuver Enhancement Brigade, New Mexico</t>
  </si>
  <si>
    <r>
      <t>116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(VANG)</t>
    </r>
  </si>
  <si>
    <r>
      <t>72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IBCT (TXNG)</t>
    </r>
  </si>
  <si>
    <r>
      <t>50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(NJNG)</t>
    </r>
  </si>
  <si>
    <t xml:space="preserve">    * 130th Maneuver Enhancement Brigade, North Carolina</t>
  </si>
  <si>
    <r>
      <t>29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CAB</t>
    </r>
  </si>
  <si>
    <r>
      <t>155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HBCT (MSNG)</t>
    </r>
  </si>
  <si>
    <r>
      <t>86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(MTN)(VTNG)</t>
    </r>
  </si>
  <si>
    <t xml:space="preserve">    * 136th Maneuver Enhancement Brigade, Texas</t>
  </si>
  <si>
    <r>
      <t>34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(NG)</t>
    </r>
  </si>
  <si>
    <r>
      <t>256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(LANG)</t>
    </r>
  </si>
  <si>
    <r>
      <t>42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CAB</t>
    </r>
  </si>
  <si>
    <t xml:space="preserve">    * 141st Maneuver Enhancement Brigade, North Dakota</t>
  </si>
  <si>
    <t>1/34 ID (MN NG)</t>
  </si>
  <si>
    <r>
      <t>36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</t>
    </r>
  </si>
  <si>
    <t xml:space="preserve">    * 149th Maneuver Enhancement Brigade, Kentucky</t>
  </si>
  <si>
    <t>2/34 ID (IA NG)</t>
  </si>
  <si>
    <r>
      <t>38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(NG)</t>
    </r>
  </si>
  <si>
    <t xml:space="preserve">    * 157th Maneuver Enhancement Brigade, Wisconsin</t>
  </si>
  <si>
    <r>
      <t>32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IBCT (WING)</t>
    </r>
  </si>
  <si>
    <r>
      <t>37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(OHNG)</t>
    </r>
  </si>
  <si>
    <t xml:space="preserve">    * 196th Maneuver Enhancement Brigade, South Dakota</t>
  </si>
  <si>
    <r>
      <t>116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CAV HBCT (IDNG)</t>
    </r>
  </si>
  <si>
    <r>
      <t>76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(INNG)</t>
    </r>
  </si>
  <si>
    <t xml:space="preserve">    * 218th Maneuver Enhancement Brigade, South Carolina</t>
  </si>
  <si>
    <r>
      <t>34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CAB</t>
    </r>
  </si>
  <si>
    <r>
      <t>278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HBCT (TNNG)</t>
    </r>
  </si>
  <si>
    <t xml:space="preserve">    * 226th Maneuver Enhancement Brigade, Alabama</t>
  </si>
  <si>
    <r>
      <t>38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(INNG)</t>
    </r>
  </si>
  <si>
    <t xml:space="preserve">    * 648th Maneuver Enhancement Brigade, Georgia</t>
  </si>
  <si>
    <t xml:space="preserve">    * 115th Fires Brigade (WY NG)</t>
  </si>
  <si>
    <t xml:space="preserve">    * (Three Maneuver Enhancement Brigade are as of now - July 08 - still unnamed)</t>
  </si>
  <si>
    <t xml:space="preserve">          o 1st Battalion, 151 Field Artillery Regiment (MN NG)</t>
  </si>
  <si>
    <t>[edit] Battlefield Surveillance Brigades</t>
  </si>
  <si>
    <t xml:space="preserve">          o E Battery, 151 Field Artillery Regiment (TAB) (MN NG)</t>
  </si>
  <si>
    <t xml:space="preserve">    * 58th Battlefield Surveillance Brigade, Maryland</t>
  </si>
  <si>
    <t xml:space="preserve">    * 67th Battlefield Surveillance Brigade, Nebraska</t>
  </si>
  <si>
    <t xml:space="preserve">    * 71st Battlefield Surveillance Brigade, Texas</t>
  </si>
  <si>
    <t xml:space="preserve">    * 219th Battlefield Surveillance Brigade, Indiana</t>
  </si>
  <si>
    <t xml:space="preserve">    * 297th Battlefield Surveillance Brigade, Alaska</t>
  </si>
  <si>
    <t xml:space="preserve">    * 560th Battlefield Surveillance Brigade, Georgia</t>
  </si>
  <si>
    <t xml:space="preserve">          o Headquarters and Headquarters Company</t>
  </si>
  <si>
    <t>[edit] Sustainment Brigades</t>
  </si>
  <si>
    <t xml:space="preserve">          o 347th Personnel Services Detachment</t>
  </si>
  <si>
    <t xml:space="preserve">    * 36th Sustainment Brigade</t>
  </si>
  <si>
    <t xml:space="preserve">    * 38th Sustainment Brigade</t>
  </si>
  <si>
    <t xml:space="preserve">    * 108th Sustainment Brigade, Illinois</t>
  </si>
  <si>
    <t xml:space="preserve">    * 113th Sustainment Brigade, North Carolina</t>
  </si>
  <si>
    <t xml:space="preserve">    * 224th Sustainment Brigade, California</t>
  </si>
  <si>
    <t xml:space="preserve">    * 230th Sustainment Brigade, Tennessee</t>
  </si>
  <si>
    <t xml:space="preserve">    * 287th Sustainment Brigade</t>
  </si>
  <si>
    <t xml:space="preserve">    * 369th Sustainment Brigade</t>
  </si>
  <si>
    <t xml:space="preserve">    * 371st Sustainment Brigade, Ohio</t>
  </si>
  <si>
    <t xml:space="preserve">    * 136th Maneuver Enhancement Brigade</t>
  </si>
  <si>
    <t>[edit] Fires (Field Artillery) Brigades</t>
  </si>
  <si>
    <t xml:space="preserve">    * 71st Battlefield Surveillance Brigade</t>
  </si>
  <si>
    <t xml:space="preserve">    * 45th Fires Brigade, Oklahoma</t>
  </si>
  <si>
    <t xml:space="preserve">    * 65th Fires Brigade, Utah</t>
  </si>
  <si>
    <t xml:space="preserve">    * 115th Fires Brigade, Wyoming</t>
  </si>
  <si>
    <t xml:space="preserve">    * 138th Fires Brigade, Kentucky</t>
  </si>
  <si>
    <t xml:space="preserve">    * 142nd Fires Brigade, Arkansas</t>
  </si>
  <si>
    <t xml:space="preserve">    * 169th Fires Brigade, Colorado</t>
  </si>
  <si>
    <t xml:space="preserve">    * 197th Fires Brigade, New Hampshire</t>
  </si>
  <si>
    <t xml:space="preserve">          o 438th Signal Company</t>
  </si>
  <si>
    <t>[edit] Functional Brigades</t>
  </si>
  <si>
    <t xml:space="preserve">    * 26th Maneuver Enhancement Brigade (MA NG)</t>
  </si>
  <si>
    <t xml:space="preserve">    * 164th Air Defense Artillery Brigade, Florida</t>
  </si>
  <si>
    <t xml:space="preserve">    * 174th Air Defense Artillery Brigade, Ohio</t>
  </si>
  <si>
    <t xml:space="preserve">    * 16th Engineer Brigade, Ohio</t>
  </si>
  <si>
    <t xml:space="preserve">    * 35th Engineer Brigade, Missouri</t>
  </si>
  <si>
    <t xml:space="preserve">    * 111th Engineer Brigade, West Virginia</t>
  </si>
  <si>
    <t xml:space="preserve">    * 194th Engineer Brigade, Tennessee</t>
  </si>
  <si>
    <t xml:space="preserve">    * 43rd Military Police Brigade, Rhode Island</t>
  </si>
  <si>
    <t xml:space="preserve">    * 49th Military Police Brigade, California</t>
  </si>
  <si>
    <t xml:space="preserve">    * 177th Military Police Brigade, Michigan</t>
  </si>
  <si>
    <t xml:space="preserve">    * 228th Signal Brigade (Tactical), South Carolina</t>
  </si>
  <si>
    <t xml:space="preserve">    * 261st Signal Brigade (Tactical), Delaware</t>
  </si>
  <si>
    <t xml:space="preserve">    * 31st Chemical Brigade, Alabama</t>
  </si>
  <si>
    <t>[edit] Theater Aviation Assets</t>
  </si>
  <si>
    <t>66th Theater Aviation Command (WA)</t>
  </si>
  <si>
    <t>185th Theater Aviation Brigade (MS), 66th TAC</t>
  </si>
  <si>
    <t xml:space="preserve">    * 3-136 TA Bn (MO, RI, PA, IN, VI, MS, CA, CT, OR, OK, WA, SD, Active duty units in Korea and Japan)</t>
  </si>
  <si>
    <t xml:space="preserve">    * 1-169th GSAB (CT, AL, GA, MD, PA, KY, Active Duty Unit in NC.)</t>
  </si>
  <si>
    <t xml:space="preserve">    * 1-171st GSAB (GA, HI, NM, KS)</t>
  </si>
  <si>
    <t xml:space="preserve">    * 1-214th GSAB (Active Duty and Reserve units in Germany)</t>
  </si>
  <si>
    <t xml:space="preserve">    * 351st ASB (SC, KY, WA, MI, OR)</t>
  </si>
  <si>
    <t>449th Theater Aviation Brigade</t>
  </si>
  <si>
    <t xml:space="preserve">    * 1-126th GSAB (RI, CA, ME)</t>
  </si>
  <si>
    <t xml:space="preserve">    * 1-106th GSAB (IL, MO)</t>
  </si>
  <si>
    <t xml:space="preserve">    * 1-131st ASLT (AL, NC)</t>
  </si>
  <si>
    <t xml:space="preserve">    * 1-244th ASLT (LA, FL)</t>
  </si>
  <si>
    <t xml:space="preserve">    * 248th ASB (IA, WI, LA)</t>
  </si>
  <si>
    <t>204th Theater Airfield Operations Group (LA, TN, MS, AR, FL)</t>
  </si>
  <si>
    <t>77th Theater Aviation Brigade (AR), 11th Theater Aviation Command (Active Duty)</t>
  </si>
  <si>
    <t xml:space="preserve">    * 2-238th GSAB (IN, IL, SC, CO, Active Duty Unit)</t>
  </si>
  <si>
    <t xml:space="preserve">    * 1-147th ASLT (WI, MI)</t>
  </si>
  <si>
    <t xml:space="preserve">    * 1-207th ASLT (AK, HI)</t>
  </si>
  <si>
    <t xml:space="preserve">    * 2-285th ASLT (AZ, OK, ND, UT)</t>
  </si>
  <si>
    <t xml:space="preserve">    * 445th ASB (OK, HI, PR, VA, WY)</t>
  </si>
  <si>
    <t>63rd Theater Aviation Brigade</t>
  </si>
  <si>
    <t>Units attached to Active Duty or Army Reserve Commands</t>
  </si>
  <si>
    <t>F Co, 207th Aviation (AK), 244th TAB (Army Reserve), 11th TAC (Active Duty)</t>
  </si>
  <si>
    <t>C Co (Air Ambulance) (WY, AZ) 5-159th GSAB, 244th TAB (Army Reserve), 11th TAC (Active Duty)</t>
  </si>
  <si>
    <t>D and E Co Dets (WY, AZ) 5-159th GSAB, 244th TAB (Army Reserve), 11th TAC (Active Duty)</t>
  </si>
  <si>
    <t>E Co, 164th Theater Airfield Operations Group (NC)</t>
  </si>
  <si>
    <t>1 AD</t>
  </si>
  <si>
    <t>1 CD</t>
  </si>
  <si>
    <t>1 ID</t>
  </si>
  <si>
    <t>2 ID</t>
  </si>
  <si>
    <t>3 ID</t>
  </si>
  <si>
    <t>4 ID</t>
  </si>
  <si>
    <t>10 MTN</t>
  </si>
  <si>
    <t>25 ID</t>
  </si>
  <si>
    <t>82 ABN</t>
  </si>
  <si>
    <t>101 AA</t>
  </si>
  <si>
    <t>USAREUR</t>
  </si>
  <si>
    <t>USARPAC</t>
  </si>
  <si>
    <t>SOCOM</t>
  </si>
  <si>
    <t>INSCOM</t>
  </si>
  <si>
    <t>CIDCOM</t>
  </si>
  <si>
    <t>FORCSCOM</t>
  </si>
  <si>
    <t>FIRES BDE</t>
  </si>
  <si>
    <t>SUST BDE</t>
  </si>
  <si>
    <t>MNVR ENH</t>
  </si>
  <si>
    <t>AVIATION</t>
  </si>
  <si>
    <t>MEDCOM</t>
  </si>
  <si>
    <t>USACE</t>
  </si>
  <si>
    <t>USAMC</t>
  </si>
  <si>
    <t>USAIMCOM</t>
  </si>
  <si>
    <t>1AD DSTB</t>
  </si>
  <si>
    <t>1CD DSTB</t>
  </si>
  <si>
    <t>1ID DSTB</t>
  </si>
  <si>
    <t>2ID DSTB</t>
  </si>
  <si>
    <t>3ID DSTB</t>
  </si>
  <si>
    <t>4ID DSTB</t>
  </si>
  <si>
    <t>10MTN DSTB</t>
  </si>
  <si>
    <t>25ID DSTB</t>
  </si>
  <si>
    <t>82ABN DSTB</t>
  </si>
  <si>
    <t>101AA DSTB</t>
  </si>
  <si>
    <r>
      <t>28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DSTB</t>
    </r>
  </si>
  <si>
    <r>
      <t>29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DSTB</t>
    </r>
  </si>
  <si>
    <r>
      <t>34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DSTB</t>
    </r>
  </si>
  <si>
    <r>
      <t>35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DSTB</t>
    </r>
  </si>
  <si>
    <r>
      <t>36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DSTB</t>
    </r>
  </si>
  <si>
    <r>
      <t>38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DSTB</t>
    </r>
  </si>
  <si>
    <r>
      <t>40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ID DSTB</t>
    </r>
  </si>
  <si>
    <r>
      <t>42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ID DSTB</t>
    </r>
  </si>
  <si>
    <t>EUR-TF</t>
  </si>
  <si>
    <t>PAC-TF</t>
  </si>
  <si>
    <r>
      <t>75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RGR REGT (A)</t>
    </r>
  </si>
  <si>
    <r>
      <t>66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BDE *EUR)</t>
    </r>
  </si>
  <si>
    <r>
      <t>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MP GRP(CID)</t>
    </r>
  </si>
  <si>
    <r>
      <t>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US ARMY</t>
    </r>
  </si>
  <si>
    <r>
      <t>41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FIRES BDE</t>
    </r>
  </si>
  <si>
    <r>
      <t>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SB</t>
    </r>
  </si>
  <si>
    <r>
      <t>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MEB</t>
    </r>
  </si>
  <si>
    <r>
      <t>12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CBT AVN BDE</t>
    </r>
  </si>
  <si>
    <t>1/1 AD</t>
  </si>
  <si>
    <t>1/1 CD</t>
  </si>
  <si>
    <t>1/1 ID</t>
  </si>
  <si>
    <t>1/2 ID</t>
  </si>
  <si>
    <t>1/3 ID</t>
  </si>
  <si>
    <t>1/4 ID</t>
  </si>
  <si>
    <t>1/10 MTN</t>
  </si>
  <si>
    <t>1/25 ID</t>
  </si>
  <si>
    <t>1/82 ABN</t>
  </si>
  <si>
    <t>1/101 AA</t>
  </si>
  <si>
    <t>TSTB EURTF</t>
  </si>
  <si>
    <t>TSTB PACTF</t>
  </si>
  <si>
    <r>
      <t>75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RSTB (A)</t>
    </r>
  </si>
  <si>
    <r>
      <t>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MI BN</t>
    </r>
  </si>
  <si>
    <r>
      <t>10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MP BN (CID)</t>
    </r>
  </si>
  <si>
    <t>1-21 FA (MLRS)</t>
  </si>
  <si>
    <r>
      <t>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TRANS</t>
    </r>
  </si>
  <si>
    <r>
      <t>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MEB</t>
    </r>
  </si>
  <si>
    <t>2-159 AVN (A/R)(AH64)</t>
  </si>
  <si>
    <t>1/1 AD BSTB</t>
  </si>
  <si>
    <t>1/1 CD BSTB</t>
  </si>
  <si>
    <t>1/1 ID BSTB</t>
  </si>
  <si>
    <t>1/2 ID BSTB</t>
  </si>
  <si>
    <t>1/3 ID BSTB</t>
  </si>
  <si>
    <t>1/4 ID BSTB</t>
  </si>
  <si>
    <t>1/10 MTN BSTB</t>
  </si>
  <si>
    <t>1/25 ID BSTB</t>
  </si>
  <si>
    <t>1/82 ABN BSTB (A)</t>
  </si>
  <si>
    <t>1/101 AA BSTB (AA)</t>
  </si>
  <si>
    <t>2 HBCT BSTB</t>
  </si>
  <si>
    <t>30 HBCT BSTB</t>
  </si>
  <si>
    <t>1/34 ID BSTB</t>
  </si>
  <si>
    <r>
      <t>33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IBCT BSTB</t>
    </r>
  </si>
  <si>
    <r>
      <t>39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</t>
    </r>
  </si>
  <si>
    <r>
      <t>37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</t>
    </r>
  </si>
  <si>
    <r>
      <t>20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</t>
    </r>
  </si>
  <si>
    <r>
      <t>27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</t>
    </r>
  </si>
  <si>
    <t>1/75 RGR</t>
  </si>
  <si>
    <r>
      <t>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MI BN</t>
    </r>
  </si>
  <si>
    <r>
      <t>100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MP BN (CID)</t>
    </r>
  </si>
  <si>
    <t>2-20 FA (MLRS)</t>
  </si>
  <si>
    <r>
      <t>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STB</t>
    </r>
  </si>
  <si>
    <r>
      <t>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MEB</t>
    </r>
  </si>
  <si>
    <t>3-159 AVN (A/R)(AH64)</t>
  </si>
  <si>
    <t>1-37 AR</t>
  </si>
  <si>
    <t>5-8 CAV (RSTA)</t>
  </si>
  <si>
    <t>1-63 AR</t>
  </si>
  <si>
    <t>2-9 IN</t>
  </si>
  <si>
    <t>3-69 AR</t>
  </si>
  <si>
    <t>1-22 IN</t>
  </si>
  <si>
    <t>1-87 IN</t>
  </si>
  <si>
    <t>1-5 IN</t>
  </si>
  <si>
    <t>1-504 PIR</t>
  </si>
  <si>
    <t>1-327 IN (AA)</t>
  </si>
  <si>
    <t>2-107 CAV (RSTA)(OHNG)</t>
  </si>
  <si>
    <t>1-150 CAV (RSTA)(WVNG)</t>
  </si>
  <si>
    <t>2-194 CAV (RSTA)</t>
  </si>
  <si>
    <t>2-106 CAV (RSTA)</t>
  </si>
  <si>
    <t>1-151 CAV (RSTA)</t>
  </si>
  <si>
    <t>1-126 CAV (RSTA)(MING)</t>
  </si>
  <si>
    <t>1-19 CAV (RSTA)</t>
  </si>
  <si>
    <t>2-101 CAV (RSTA)</t>
  </si>
  <si>
    <r>
      <t>173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BSTB (A)</t>
    </r>
  </si>
  <si>
    <t>3 ACR BSTB</t>
  </si>
  <si>
    <t>2/75 RGR</t>
  </si>
  <si>
    <r>
      <t>105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</si>
  <si>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t>FT BENNING DISTR (CID)</t>
  </si>
  <si>
    <r>
      <t>589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</si>
  <si>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10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TRANS</t>
    </r>
  </si>
  <si>
    <r>
      <t>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MEB</t>
    </r>
  </si>
  <si>
    <t>3-158 AVN (ASLT)(UH60)</t>
  </si>
  <si>
    <t>1-36 AR</t>
  </si>
  <si>
    <t>2-5 CAV (CAM)</t>
  </si>
  <si>
    <t>1-16 IN</t>
  </si>
  <si>
    <t>1-72 AR</t>
  </si>
  <si>
    <t>2-7 IN</t>
  </si>
  <si>
    <t>1-66 AR</t>
  </si>
  <si>
    <t>2-22 IN</t>
  </si>
  <si>
    <t>3-21 IN</t>
  </si>
  <si>
    <t>2-504 PIR</t>
  </si>
  <si>
    <t>2-327 IN (AA)</t>
  </si>
  <si>
    <t>2-145 AR (OHNG)</t>
  </si>
  <si>
    <t>1-252 AR (CAMB)(NCNG)</t>
  </si>
  <si>
    <t>1-194 AR (CAMB)</t>
  </si>
  <si>
    <t>2-130 IN</t>
  </si>
  <si>
    <t>1-153 IN</t>
  </si>
  <si>
    <t>1-125 IN (MING)</t>
  </si>
  <si>
    <t>1-158 IN (AZNG)</t>
  </si>
  <si>
    <t>1-69 IN</t>
  </si>
  <si>
    <t>1-503 AIR</t>
  </si>
  <si>
    <t>1/3 ACR</t>
  </si>
  <si>
    <t>3/75 RGR</t>
  </si>
  <si>
    <r>
      <t>302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MI BN</t>
    </r>
  </si>
  <si>
    <t>WASH DISTR (CID)</t>
  </si>
  <si>
    <t>US ARMY RES</t>
  </si>
  <si>
    <r>
      <t>75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FIRES BDE</t>
    </r>
  </si>
  <si>
    <r>
      <t>11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TRANS</t>
    </r>
  </si>
  <si>
    <t>5-158 AVN (GS)(UH60/CH47/HH60)</t>
  </si>
  <si>
    <t>2-3 FA</t>
  </si>
  <si>
    <t>2-8 CAV (CAM)</t>
  </si>
  <si>
    <t>4-4 CAV (RSTA)</t>
  </si>
  <si>
    <t>4-7 CAV (RSTA)</t>
  </si>
  <si>
    <t>5-7 CAV (RSTA)</t>
  </si>
  <si>
    <t>7-10 CAV (RSTA)</t>
  </si>
  <si>
    <t>1-71 CAV (RSTA)</t>
  </si>
  <si>
    <t>1-24 IN</t>
  </si>
  <si>
    <t>3-73 CAV (A)</t>
  </si>
  <si>
    <t>2-320 FA (AA)</t>
  </si>
  <si>
    <t>1-110 IN</t>
  </si>
  <si>
    <t>1-120 IN (CAMB)(NCNG)</t>
  </si>
  <si>
    <t>2-136 IN (CAMB)</t>
  </si>
  <si>
    <t>1-178 IN</t>
  </si>
  <si>
    <t>2-153 IN</t>
  </si>
  <si>
    <t>1-148 IN</t>
  </si>
  <si>
    <t>100-442 IN</t>
  </si>
  <si>
    <t>2-108 IN</t>
  </si>
  <si>
    <t>2-503 AIR</t>
  </si>
  <si>
    <t>2/3 ACR</t>
  </si>
  <si>
    <t>RTB (A)</t>
  </si>
  <si>
    <r>
      <t>116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GRP (NSA/CSS)</t>
    </r>
  </si>
  <si>
    <r>
      <t>75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MP DET (CID)</t>
    </r>
  </si>
  <si>
    <t>1-17 FA (THW)</t>
  </si>
  <si>
    <r>
      <t>24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TRANS</t>
    </r>
  </si>
  <si>
    <t>ENGINEER</t>
  </si>
  <si>
    <r>
      <t>412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</t>
    </r>
  </si>
  <si>
    <t>6-1 CAV (RSTA)</t>
  </si>
  <si>
    <t>1-82 FA</t>
  </si>
  <si>
    <t>1-5 FA</t>
  </si>
  <si>
    <t>1-15 FA</t>
  </si>
  <si>
    <t>1-41 FA</t>
  </si>
  <si>
    <t>4-42 FA</t>
  </si>
  <si>
    <t>3-6 FA</t>
  </si>
  <si>
    <t>5-1 CAV (RSTA)</t>
  </si>
  <si>
    <t>3-319 FA (A)</t>
  </si>
  <si>
    <t>1-32 CAV (AA) (RSTA)</t>
  </si>
  <si>
    <t>1-107 FA</t>
  </si>
  <si>
    <t>1-113 FA (NCNG)</t>
  </si>
  <si>
    <t>1-125 FA</t>
  </si>
  <si>
    <t>2-122 FA</t>
  </si>
  <si>
    <t>1-206 FA</t>
  </si>
  <si>
    <t>1-134 FA</t>
  </si>
  <si>
    <t>1-487 FA</t>
  </si>
  <si>
    <t>1-258 FA</t>
  </si>
  <si>
    <t>1-91 CAV (A) (RSTA)</t>
  </si>
  <si>
    <t>3/3 ACR</t>
  </si>
  <si>
    <t>RSB (A)</t>
  </si>
  <si>
    <r>
      <t>300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BDE (LANG)</t>
    </r>
  </si>
  <si>
    <r>
      <t>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MP GRP (CID)</t>
    </r>
  </si>
  <si>
    <t>2-18 FA (MLRS)</t>
  </si>
  <si>
    <r>
      <t>18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BDE</t>
    </r>
  </si>
  <si>
    <r>
      <t>501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BSB</t>
    </r>
  </si>
  <si>
    <r>
      <t>115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</si>
  <si>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101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BSB</t>
    </r>
  </si>
  <si>
    <r>
      <t>302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</t>
    </r>
  </si>
  <si>
    <r>
      <t>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BSB</t>
    </r>
  </si>
  <si>
    <r>
      <t>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</si>
  <si>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10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</si>
  <si>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2-8 FA</t>
  </si>
  <si>
    <r>
      <t>307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(A)</t>
    </r>
  </si>
  <si>
    <r>
      <t>426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(AA)</t>
    </r>
  </si>
  <si>
    <t>128 BSB</t>
  </si>
  <si>
    <r>
      <t>230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(NC NG)</t>
    </r>
  </si>
  <si>
    <r>
      <t>134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</si>
  <si>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634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</si>
  <si>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39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</si>
  <si>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237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</si>
  <si>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29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</si>
  <si>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342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</t>
    </r>
  </si>
  <si>
    <t>4-319 FA (A)</t>
  </si>
  <si>
    <t>4/3 ACR (AVN)</t>
  </si>
  <si>
    <t>1 SFG (A)</t>
  </si>
  <si>
    <r>
      <t>205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BDE</t>
    </r>
  </si>
  <si>
    <r>
      <t>202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MP GRP (CID)</t>
    </r>
  </si>
  <si>
    <t>3-13 FA (MLRS)</t>
  </si>
  <si>
    <r>
      <t>80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ORD</t>
    </r>
  </si>
  <si>
    <r>
      <t>20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BDE (A)</t>
    </r>
  </si>
  <si>
    <t>2/1 AD</t>
  </si>
  <si>
    <t>2/1 CD</t>
  </si>
  <si>
    <t>2/1 ID</t>
  </si>
  <si>
    <t>2/2 ID</t>
  </si>
  <si>
    <t>2/3 ID</t>
  </si>
  <si>
    <t>2/4 ID</t>
  </si>
  <si>
    <t>2/10 MTN</t>
  </si>
  <si>
    <t>25 BSB</t>
  </si>
  <si>
    <t>2/82 ABN</t>
  </si>
  <si>
    <t>2/101 AA</t>
  </si>
  <si>
    <r>
      <t>173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BSB (A)</t>
    </r>
  </si>
  <si>
    <t>RSS/3 ACR</t>
  </si>
  <si>
    <t>1 GSTB (SO)(A)</t>
  </si>
  <si>
    <r>
      <t>165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</si>
  <si>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r>
      <t>701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MP GRP (CID)</t>
    </r>
  </si>
  <si>
    <r>
      <t>100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</si>
  <si>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57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TRANS</t>
    </r>
  </si>
  <si>
    <r>
      <t>27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 (A)</t>
    </r>
  </si>
  <si>
    <t>2/1 AD BSTB</t>
  </si>
  <si>
    <t>2/1 CD BSTB</t>
  </si>
  <si>
    <r>
      <t>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BSTB</t>
    </r>
  </si>
  <si>
    <t>2/2 ID BSTB</t>
  </si>
  <si>
    <t>2/3 ID BSTB</t>
  </si>
  <si>
    <t>2/4 ID BSTB</t>
  </si>
  <si>
    <t>2/10 MTN BSTB</t>
  </si>
  <si>
    <t>2/25 ID</t>
  </si>
  <si>
    <t>2/82 ABN BSTB (A)</t>
  </si>
  <si>
    <t>2/101 AA BSTB (AA)</t>
  </si>
  <si>
    <r>
      <t>53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IBCT BSTB</t>
    </r>
  </si>
  <si>
    <r>
      <t>116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 (VANG)</t>
    </r>
  </si>
  <si>
    <t>2/34 ID BSTB</t>
  </si>
  <si>
    <r>
      <t>45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</t>
    </r>
  </si>
  <si>
    <r>
      <t>56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</t>
    </r>
  </si>
  <si>
    <r>
      <t>76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</t>
    </r>
  </si>
  <si>
    <r>
      <t>40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</t>
    </r>
  </si>
  <si>
    <r>
      <t>50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</t>
    </r>
  </si>
  <si>
    <t>1/1 SF (A)</t>
  </si>
  <si>
    <r>
      <t>207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BDE</t>
    </r>
  </si>
  <si>
    <t>USA CIDLAB</t>
  </si>
  <si>
    <r>
      <t>212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FIRES BDE</t>
    </r>
  </si>
  <si>
    <r>
      <t>37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 (A)</t>
    </r>
  </si>
  <si>
    <t>1-35 AR</t>
  </si>
  <si>
    <t>4-9 CAV (RSTA)</t>
  </si>
  <si>
    <t>2/1 ID BSTB</t>
  </si>
  <si>
    <t>2-1 IN</t>
  </si>
  <si>
    <t>1-64 AR</t>
  </si>
  <si>
    <t>2-8 IN</t>
  </si>
  <si>
    <t>2-14 IN</t>
  </si>
  <si>
    <t>2/25 ID BSTB</t>
  </si>
  <si>
    <t>1-325 AIR</t>
  </si>
  <si>
    <t>1-502 IN (AA)</t>
  </si>
  <si>
    <t>1-153 CAV</t>
  </si>
  <si>
    <t>2-183 CAV (RSTA)</t>
  </si>
  <si>
    <t>1-113 CAV (RSTA)(IANG)</t>
  </si>
  <si>
    <t>1-279 CAV (RSTA)</t>
  </si>
  <si>
    <t>1-124 CAV (RSTA)</t>
  </si>
  <si>
    <t>1-238 CAV (RSTA)</t>
  </si>
  <si>
    <t>1-18 CAV (RSTA)</t>
  </si>
  <si>
    <t>1-102 CAV (RSTA)</t>
  </si>
  <si>
    <t>2CR BSTB</t>
  </si>
  <si>
    <t>11 ACR BSTB</t>
  </si>
  <si>
    <t>2/1 SF (A)</t>
  </si>
  <si>
    <r>
      <t>470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BDE (SOUTH)</t>
    </r>
  </si>
  <si>
    <t>USA CRIM REC CTR</t>
  </si>
  <si>
    <t>1-12 FA (MLRS)</t>
  </si>
  <si>
    <r>
      <t>15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SB</t>
    </r>
  </si>
  <si>
    <r>
      <t>30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 (A)</t>
    </r>
  </si>
  <si>
    <t>1-6 IN</t>
  </si>
  <si>
    <t>1-5 CAV (CAM)</t>
  </si>
  <si>
    <t>5-4 CAV (RSTA)</t>
  </si>
  <si>
    <t>1-17 IN</t>
  </si>
  <si>
    <t>1-30 IN</t>
  </si>
  <si>
    <t>1-67 AR</t>
  </si>
  <si>
    <t>4-31 IN</t>
  </si>
  <si>
    <t>1-14 IN</t>
  </si>
  <si>
    <t>2-325 AIR</t>
  </si>
  <si>
    <t>2-502 IN (AA)</t>
  </si>
  <si>
    <t>1-124 IN</t>
  </si>
  <si>
    <t>1-116 IN</t>
  </si>
  <si>
    <t>1-133 IN (IANG)</t>
  </si>
  <si>
    <t>1-179 IN</t>
  </si>
  <si>
    <t>2-142 IN</t>
  </si>
  <si>
    <t>1-152 IN</t>
  </si>
  <si>
    <t>1-184 IN</t>
  </si>
  <si>
    <t>1-113 IN</t>
  </si>
  <si>
    <t>1/2 CR (STR)</t>
  </si>
  <si>
    <t>1/11 ACR (AR)</t>
  </si>
  <si>
    <t>3/1 SF (A)</t>
  </si>
  <si>
    <r>
      <t>204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</si>
  <si>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t>3-18 FA (SPHW)</t>
  </si>
  <si>
    <r>
      <t>49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TRANS</t>
    </r>
  </si>
  <si>
    <r>
      <t>19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 (A)</t>
    </r>
  </si>
  <si>
    <t>1-13 CAV (RSTA)</t>
  </si>
  <si>
    <t>1-8 CAV (CAM)</t>
  </si>
  <si>
    <t>1-7 FA</t>
  </si>
  <si>
    <t>4-23 IN</t>
  </si>
  <si>
    <t>3-7 CAV (RSTA)</t>
  </si>
  <si>
    <t>1-10 CAV (RSTA)</t>
  </si>
  <si>
    <t>1-89 CAV (RSTA)</t>
  </si>
  <si>
    <t>1-21 IN</t>
  </si>
  <si>
    <t>1-73 CAV(A)</t>
  </si>
  <si>
    <t>1-320 FA (AA)</t>
  </si>
  <si>
    <t>3-124 IN</t>
  </si>
  <si>
    <t>3-116 IN</t>
  </si>
  <si>
    <t>2-135 IN (MN NG)</t>
  </si>
  <si>
    <t>1-180 IN</t>
  </si>
  <si>
    <t>3-144 IN</t>
  </si>
  <si>
    <t>1-293 IN</t>
  </si>
  <si>
    <t>1-160 IN</t>
  </si>
  <si>
    <t>1-114 IN</t>
  </si>
  <si>
    <t>2/2 CR (STR)</t>
  </si>
  <si>
    <t>2/11 ACR (IN)</t>
  </si>
  <si>
    <t>1 GSB (SO)(A)</t>
  </si>
  <si>
    <r>
      <t>314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</si>
  <si>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t>TRADOC</t>
  </si>
  <si>
    <t>6-32 FA (MLRS)</t>
  </si>
  <si>
    <r>
      <t>180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TRANS</t>
    </r>
  </si>
  <si>
    <r>
      <t>326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 (A)</t>
    </r>
  </si>
  <si>
    <t>4-27 FA</t>
  </si>
  <si>
    <t>3-82 FA</t>
  </si>
  <si>
    <r>
      <t>299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</si>
  <si>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8-1 CAV (RSTA)</t>
  </si>
  <si>
    <t>1-9 FA</t>
  </si>
  <si>
    <t>3-16 FA</t>
  </si>
  <si>
    <t>2-15 FA</t>
  </si>
  <si>
    <t>1-27 IN</t>
  </si>
  <si>
    <t>2-319 FA (A)</t>
  </si>
  <si>
    <t>1-75 CAV (AA) (RSTA)</t>
  </si>
  <si>
    <t>3-116 FA</t>
  </si>
  <si>
    <t>1-111 FA</t>
  </si>
  <si>
    <t>1-194 FA</t>
  </si>
  <si>
    <t>1-160 FA</t>
  </si>
  <si>
    <t>3-133 FA</t>
  </si>
  <si>
    <t>1-163 FA</t>
  </si>
  <si>
    <t>1-144 FA</t>
  </si>
  <si>
    <t>1-112 FA</t>
  </si>
  <si>
    <t>3/2 CR (STR)</t>
  </si>
  <si>
    <t>RSS/11 ACR</t>
  </si>
  <si>
    <t>3 SFG (A)</t>
  </si>
  <si>
    <r>
      <t>377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</si>
  <si>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t>ACESSIONS CMD</t>
  </si>
  <si>
    <r>
      <t>212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</si>
  <si>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 (A)</t>
    </r>
  </si>
  <si>
    <r>
      <t>47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</si>
  <si>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</t>
    </r>
  </si>
  <si>
    <t>3/1 ID</t>
  </si>
  <si>
    <t>2-17 FA</t>
  </si>
  <si>
    <r>
      <t>26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</si>
  <si>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204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</si>
  <si>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210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</si>
  <si>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2-14 CAV (RSTA)</t>
  </si>
  <si>
    <r>
      <t>407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(A)</t>
    </r>
  </si>
  <si>
    <r>
      <t>526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(AA)</t>
    </r>
  </si>
  <si>
    <r>
      <t>53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BSB</t>
    </r>
  </si>
  <si>
    <r>
      <t>429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</si>
  <si>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334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</si>
  <si>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700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</si>
  <si>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949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</si>
  <si>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113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</si>
  <si>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40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</si>
  <si>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250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</si>
  <si>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4/2 CR (RSTA)</t>
  </si>
  <si>
    <t>3 GSTB (SO)(A)</t>
  </si>
  <si>
    <r>
      <t>201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MI BN</t>
    </r>
  </si>
  <si>
    <t>ARMY CAP INTEG CTR</t>
  </si>
  <si>
    <r>
      <t>214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FIRES BDE</t>
    </r>
  </si>
  <si>
    <r>
      <t>260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QM BN</t>
    </r>
  </si>
  <si>
    <r>
      <t>36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BDE</t>
    </r>
  </si>
  <si>
    <t>3/1 AD</t>
  </si>
  <si>
    <t>3/1 CD</t>
  </si>
  <si>
    <t>3/1 ID BSTB</t>
  </si>
  <si>
    <r>
      <t>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BSB***</t>
    </r>
  </si>
  <si>
    <t>3/3 ID</t>
  </si>
  <si>
    <t>3/4 ID</t>
  </si>
  <si>
    <t>3/10 MTN</t>
  </si>
  <si>
    <t>2-11 FA</t>
  </si>
  <si>
    <t>3/82 ABN</t>
  </si>
  <si>
    <t>3/101 AA</t>
  </si>
  <si>
    <t>FIRES/2CR</t>
  </si>
  <si>
    <t>1/3 SF (A)</t>
  </si>
  <si>
    <r>
      <t>500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BDE (PAC)</t>
    </r>
  </si>
  <si>
    <t>COMB ARMS CTR</t>
  </si>
  <si>
    <t>2-4 FA (MLRS)</t>
  </si>
  <si>
    <r>
      <t>92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EN BN</t>
    </r>
  </si>
  <si>
    <r>
      <t>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</si>
  <si>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t>3/1 AD BSTB</t>
  </si>
  <si>
    <t>3/1 CD BSTB</t>
  </si>
  <si>
    <t>2-2 IN</t>
  </si>
  <si>
    <t>3/2 ID</t>
  </si>
  <si>
    <t>3/3 ID BSTB</t>
  </si>
  <si>
    <t>3/4 ID BSTB</t>
  </si>
  <si>
    <t>3/10 MTN BSTB</t>
  </si>
  <si>
    <t>225 BSB</t>
  </si>
  <si>
    <t>3/82 ABN BSTB (A)</t>
  </si>
  <si>
    <t>3/101 AA BSTB (AA)</t>
  </si>
  <si>
    <r>
      <t>55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HBCT BSTB</t>
    </r>
  </si>
  <si>
    <r>
      <t>29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</si>
  <si>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r>
      <t>32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IBCT STB</t>
    </r>
  </si>
  <si>
    <r>
      <t>48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</t>
    </r>
  </si>
  <si>
    <r>
      <t>72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IBCT BSTB</t>
    </r>
  </si>
  <si>
    <r>
      <t>278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HBCT BSTB</t>
    </r>
  </si>
  <si>
    <r>
      <t>41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IBCT BSTB</t>
    </r>
  </si>
  <si>
    <r>
      <t>86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(MTN) BSTB</t>
    </r>
  </si>
  <si>
    <t>RSS/2CR</t>
  </si>
  <si>
    <t>2/3 SF (A)</t>
  </si>
  <si>
    <r>
      <t>501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MI BDE (KOR)</t>
    </r>
  </si>
  <si>
    <t>COMB ARMS SPT CMD</t>
  </si>
  <si>
    <t>2-5 FA (SPHW)</t>
  </si>
  <si>
    <r>
      <t>20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</si>
  <si>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t>2-70 AR</t>
  </si>
  <si>
    <t>6-9 CAV (RSTA)</t>
  </si>
  <si>
    <t>1-26 IN</t>
  </si>
  <si>
    <t>3/2 ID BSTB</t>
  </si>
  <si>
    <t>2-69 AR</t>
  </si>
  <si>
    <t>1-8 IN</t>
  </si>
  <si>
    <t>1-32 IN</t>
  </si>
  <si>
    <t>3/25 ID</t>
  </si>
  <si>
    <t>1-505 PIR</t>
  </si>
  <si>
    <t>1-187 IN (AA)</t>
  </si>
  <si>
    <t>1-104 CAV</t>
  </si>
  <si>
    <t>1-285 AVN (R&amp;A)(AZNG)</t>
  </si>
  <si>
    <t>1-105 CAV (RSTA)</t>
  </si>
  <si>
    <t>1-108 CAV (RSTA)</t>
  </si>
  <si>
    <t>1-112 CAV (RSTA)</t>
  </si>
  <si>
    <t>1-278 CAV (RSTA)</t>
  </si>
  <si>
    <t>1-82 CAV (RSTA)</t>
  </si>
  <si>
    <t>2-172 CAV (RSTA)</t>
  </si>
  <si>
    <t>3/3 SF (A)</t>
  </si>
  <si>
    <r>
      <t>368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</si>
  <si>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t>TRAC ANA CTR</t>
  </si>
  <si>
    <t>1-14 FA (HIMARS)</t>
  </si>
  <si>
    <r>
      <t>498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CSSB</t>
    </r>
  </si>
  <si>
    <r>
      <t>62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EN BN</t>
    </r>
  </si>
  <si>
    <t>1-41 IN</t>
  </si>
  <si>
    <t>1-7 CAV (CAM)</t>
  </si>
  <si>
    <t>6-4 CAV (RSTA)</t>
  </si>
  <si>
    <t>2-3 IN</t>
  </si>
  <si>
    <t>3-15 IN</t>
  </si>
  <si>
    <t>1-68 AR</t>
  </si>
  <si>
    <t>2-87 IN</t>
  </si>
  <si>
    <t>3/25 ID BSTB</t>
  </si>
  <si>
    <t>2-505 PIR</t>
  </si>
  <si>
    <t>2-187 in (AA)</t>
  </si>
  <si>
    <t>4-103 AR</t>
  </si>
  <si>
    <t>8-229 AVN (R&amp;A)</t>
  </si>
  <si>
    <t>2-127 IN</t>
  </si>
  <si>
    <t>1-121 IN</t>
  </si>
  <si>
    <t>1-141 IN</t>
  </si>
  <si>
    <t>3-109 AR</t>
  </si>
  <si>
    <t>2-162 IN</t>
  </si>
  <si>
    <t>1-102 IN (MTN)(CTNG)</t>
  </si>
  <si>
    <r>
      <t>170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BSTB</t>
    </r>
  </si>
  <si>
    <t>3 GSB (SO)(A)</t>
  </si>
  <si>
    <r>
      <t>524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</si>
  <si>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t>CALL</t>
  </si>
  <si>
    <r>
      <t>168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</si>
  <si>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18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CSSB</t>
    </r>
  </si>
  <si>
    <r>
      <t>11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</si>
  <si>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t>1-1 CAV (RSTA)</t>
  </si>
  <si>
    <t>1-12 CAV (CAM)</t>
  </si>
  <si>
    <t>1-6 FA</t>
  </si>
  <si>
    <t>5-20 IN</t>
  </si>
  <si>
    <t>3-1 CAV (RSTA)</t>
  </si>
  <si>
    <t>4-10 CAV (RSTA)</t>
  </si>
  <si>
    <t>3-71 CAV (RSTA)</t>
  </si>
  <si>
    <t>2-27 IN</t>
  </si>
  <si>
    <t>5-73 CAV (A)</t>
  </si>
  <si>
    <t>3-187 IN (AA)</t>
  </si>
  <si>
    <t>1-109 IN</t>
  </si>
  <si>
    <t>2-224 AVN (ASLT)(VANG)</t>
  </si>
  <si>
    <t>1-128 IN</t>
  </si>
  <si>
    <t>2-121 IN</t>
  </si>
  <si>
    <t>3-141 IN</t>
  </si>
  <si>
    <t>4-117 IN</t>
  </si>
  <si>
    <t>1-186 IN</t>
  </si>
  <si>
    <t>3-172 IN (MTN)</t>
  </si>
  <si>
    <t>4-70 AR</t>
  </si>
  <si>
    <t>5 SFG (A)</t>
  </si>
  <si>
    <r>
      <t>527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</si>
  <si>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r>
      <t>18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FIRES BDE (AA)</t>
    </r>
  </si>
  <si>
    <r>
      <t>130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BDE</t>
    </r>
  </si>
  <si>
    <t>4-1 FA</t>
  </si>
  <si>
    <t>2-82 FA</t>
  </si>
  <si>
    <r>
      <t>201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BSB</t>
    </r>
  </si>
  <si>
    <t>1-23 IN</t>
  </si>
  <si>
    <t>1-10 FA</t>
  </si>
  <si>
    <t>3-29 FA</t>
  </si>
  <si>
    <t>4-25 FA</t>
  </si>
  <si>
    <t>2-35 IN</t>
  </si>
  <si>
    <t>1-319 FA (A)</t>
  </si>
  <si>
    <t>3-320 FA (AA)</t>
  </si>
  <si>
    <t>1-109 FA</t>
  </si>
  <si>
    <t>1-111 AVN (GS)(FLNG)</t>
  </si>
  <si>
    <t>1-120 FA</t>
  </si>
  <si>
    <t>1-118 FA</t>
  </si>
  <si>
    <t>1-133 FA</t>
  </si>
  <si>
    <t>3-115 FA</t>
  </si>
  <si>
    <t>2-218 FA</t>
  </si>
  <si>
    <t>1-101 FA (MANG)</t>
  </si>
  <si>
    <t>2-18 IN</t>
  </si>
  <si>
    <t>5 GSTB (SO)(A)</t>
  </si>
  <si>
    <r>
      <t>532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MI BN</t>
    </r>
  </si>
  <si>
    <t>1-321 FA (M777)(A)</t>
  </si>
  <si>
    <r>
      <t>54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</si>
  <si>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r>
      <t>125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</si>
  <si>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215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</si>
  <si>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4/1 ID</t>
  </si>
  <si>
    <t>1-14 CAV (RSTA)</t>
  </si>
  <si>
    <r>
      <t>203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BSB</t>
    </r>
  </si>
  <si>
    <r>
      <t>64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</si>
  <si>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710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</si>
  <si>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3-4 CAV (RSTA)</t>
  </si>
  <si>
    <t>82 BSB (A)</t>
  </si>
  <si>
    <t>1-33 CAV (AA) (RSTA)</t>
  </si>
  <si>
    <r>
      <t>228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</si>
  <si>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1204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 (KYNG)</t>
    </r>
  </si>
  <si>
    <r>
      <t>132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</t>
    </r>
  </si>
  <si>
    <r>
      <t>148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</si>
  <si>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536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</si>
  <si>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473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BSB</t>
    </r>
  </si>
  <si>
    <r>
      <t>141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BSB</t>
    </r>
  </si>
  <si>
    <r>
      <t>186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</si>
  <si>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3-4 IN</t>
  </si>
  <si>
    <t>1/5 SF (A)</t>
  </si>
  <si>
    <r>
      <t>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MI BN</t>
    </r>
  </si>
  <si>
    <t>2-321 FA (M777)(A)</t>
  </si>
  <si>
    <r>
      <t>94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</si>
  <si>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t>4/1 AD</t>
  </si>
  <si>
    <t>4/1 CD</t>
  </si>
  <si>
    <t>4/1 ID BSTB</t>
  </si>
  <si>
    <t>1-37 FA</t>
  </si>
  <si>
    <t>4/3 ID</t>
  </si>
  <si>
    <t>4/4 ID</t>
  </si>
  <si>
    <t>4/10 MTN</t>
  </si>
  <si>
    <t>3-7 FA</t>
  </si>
  <si>
    <r>
      <t>27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(A)</t>
    </r>
  </si>
  <si>
    <r>
      <t>626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(AA)</t>
    </r>
  </si>
  <si>
    <t>1-84 FA</t>
  </si>
  <si>
    <t>2/5 SF (A)</t>
  </si>
  <si>
    <r>
      <t>513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BDE (CENT)</t>
    </r>
  </si>
  <si>
    <t>3-321 FA (M777)(A)</t>
  </si>
  <si>
    <r>
      <t>565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</si>
  <si>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t>4/1 AD BSTB</t>
  </si>
  <si>
    <t>4/1 CD BSTB</t>
  </si>
  <si>
    <t>2-16 IN</t>
  </si>
  <si>
    <r>
      <t>296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</si>
  <si>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4/3 ID BSTB</t>
  </si>
  <si>
    <t>4/4 ID BSTB</t>
  </si>
  <si>
    <t>4/10 MTN BSTB</t>
  </si>
  <si>
    <t>325 BSB</t>
  </si>
  <si>
    <t>4/82 ABN</t>
  </si>
  <si>
    <t>4/101 AA</t>
  </si>
  <si>
    <r>
      <t>56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SBCT BSTB</t>
    </r>
  </si>
  <si>
    <r>
      <t>116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CAV BSTB</t>
    </r>
  </si>
  <si>
    <r>
      <t>35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</si>
  <si>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r>
      <t>155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HBCT BSTB</t>
    </r>
  </si>
  <si>
    <r>
      <t>38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</si>
  <si>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r>
      <t>81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HBCT BSTB</t>
    </r>
  </si>
  <si>
    <r>
      <t>42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CAB BSTB</t>
    </r>
  </si>
  <si>
    <r>
      <t>40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</t>
    </r>
  </si>
  <si>
    <t>3/5 SF (A)</t>
  </si>
  <si>
    <r>
      <t>202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MI BN</t>
    </r>
  </si>
  <si>
    <t>3-27 FA (HIMARS)(A)</t>
  </si>
  <si>
    <r>
      <t>65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</si>
  <si>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t>2-34 AR</t>
  </si>
  <si>
    <t>1-9 CAV (RSTA)</t>
  </si>
  <si>
    <t>1-28 IN</t>
  </si>
  <si>
    <t>4/2 ID</t>
  </si>
  <si>
    <t>4-64 AR</t>
  </si>
  <si>
    <t>1-12 IN</t>
  </si>
  <si>
    <t>2-4 IN</t>
  </si>
  <si>
    <t>4/25 ID (A)</t>
  </si>
  <si>
    <t>4/82 ABN BSTB (A)</t>
  </si>
  <si>
    <t>4/101 AA BSTB (AA)</t>
  </si>
  <si>
    <t>1-111 IN</t>
  </si>
  <si>
    <t>2-116 CAV (RSTA)(IDNG)</t>
  </si>
  <si>
    <t>1-376 AVN (S&amp;S)(NENG)</t>
  </si>
  <si>
    <t>1-98 CAV (RSTA)</t>
  </si>
  <si>
    <t>1-130 AVN (ATK)(NCNG)</t>
  </si>
  <si>
    <t>1-203 CAV (RSTA)</t>
  </si>
  <si>
    <t>3-126 AVN (GSAB)(MANG)</t>
  </si>
  <si>
    <r>
      <t>24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</si>
  <si>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5 GSB (SO)(A)</t>
  </si>
  <si>
    <r>
      <t>297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</si>
  <si>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r>
      <t>188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(AA)</t>
    </r>
  </si>
  <si>
    <r>
      <t>84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</si>
  <si>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t>2-6 IN</t>
  </si>
  <si>
    <t>2-7 CAV (CAM)</t>
  </si>
  <si>
    <t>1-4 CAV (RSTA)</t>
  </si>
  <si>
    <t>4/2 ID BSTB</t>
  </si>
  <si>
    <t>3-7 IN</t>
  </si>
  <si>
    <t>2-12 IN</t>
  </si>
  <si>
    <t>2-30 IN</t>
  </si>
  <si>
    <t>4/25 ID BSTB (A)</t>
  </si>
  <si>
    <t>1-508 PIR</t>
  </si>
  <si>
    <t>1-506 IN (AA)</t>
  </si>
  <si>
    <t>1-112 IN</t>
  </si>
  <si>
    <t>1-163 CAV (CAMB)(MTNG)</t>
  </si>
  <si>
    <t>1-135 AVN (ATK)(MONG)</t>
  </si>
  <si>
    <t>1-198 AR</t>
  </si>
  <si>
    <t>1-137 AVN (ASLT)(OHNG)</t>
  </si>
  <si>
    <t>1-185 AR (CANG)</t>
  </si>
  <si>
    <t>1-151 AVN (A/R)</t>
  </si>
  <si>
    <t>7 SFG (A)</t>
  </si>
  <si>
    <r>
      <t>650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BDE (EUR/NATO)</t>
    </r>
  </si>
  <si>
    <r>
      <t>17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FIRES BDE (AA)</t>
    </r>
  </si>
  <si>
    <r>
      <t>555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MEB</t>
    </r>
  </si>
  <si>
    <t>2-13 CAV (RSTA)</t>
  </si>
  <si>
    <t>2-12 CAV (CAM)</t>
  </si>
  <si>
    <t>2-32 FA</t>
  </si>
  <si>
    <t>4-9 IN</t>
  </si>
  <si>
    <t>6-8 CAV (RSTA)</t>
  </si>
  <si>
    <t>3-61 CAV (RSTA)</t>
  </si>
  <si>
    <t>3-89 CAV (RSTA)</t>
  </si>
  <si>
    <t>1-501 IN (A)</t>
  </si>
  <si>
    <t>2-508 PIR</t>
  </si>
  <si>
    <t>2-506 IN (AA)</t>
  </si>
  <si>
    <t>2-112 IN</t>
  </si>
  <si>
    <t>3-116 CAV (CAMB)(ORNG)</t>
  </si>
  <si>
    <t>2-211 AVN (GS)(UTNG)</t>
  </si>
  <si>
    <t>1-155 IN</t>
  </si>
  <si>
    <t>2-151 AVN (S&amp;S)(SCNG)</t>
  </si>
  <si>
    <t>1-161 IN</t>
  </si>
  <si>
    <t>3-142 AVN (ASLT)</t>
  </si>
  <si>
    <r>
      <t>172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BSTB</t>
    </r>
  </si>
  <si>
    <t>7 GSTB (SO)(A)</t>
  </si>
  <si>
    <r>
      <t>704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BDE</t>
    </r>
  </si>
  <si>
    <t>5-3 FA (HIMARS) (AA)</t>
  </si>
  <si>
    <r>
      <t>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EN BN</t>
    </r>
  </si>
  <si>
    <t>2-29 FA</t>
  </si>
  <si>
    <t>5-82 FA</t>
  </si>
  <si>
    <r>
      <t>701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BSB</t>
    </r>
  </si>
  <si>
    <t>2-23 IN</t>
  </si>
  <si>
    <t>1-76 FA</t>
  </si>
  <si>
    <t>2-77 FA</t>
  </si>
  <si>
    <t>5-25 FA</t>
  </si>
  <si>
    <t>3-509 IN (A)</t>
  </si>
  <si>
    <t>4-73 CAV (A)</t>
  </si>
  <si>
    <t>1-61 CAV (AA) (RSTA)</t>
  </si>
  <si>
    <t>2-104 CAV</t>
  </si>
  <si>
    <t>1-148 FA (IDNG)</t>
  </si>
  <si>
    <t>1-108 AVN (ASLT)(KSNG)</t>
  </si>
  <si>
    <t>2-114 FA</t>
  </si>
  <si>
    <t>3-238 AVN (GSAB)(MING)</t>
  </si>
  <si>
    <t>2-146 FA</t>
  </si>
  <si>
    <t>1-224 AVN (S&amp;S)(MDNG)</t>
  </si>
  <si>
    <t>3-66 AR</t>
  </si>
  <si>
    <t>1/7 SF (A)</t>
  </si>
  <si>
    <r>
      <t>741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MI BN</t>
    </r>
  </si>
  <si>
    <t>3-94 FA (HIMARS) (AA)</t>
  </si>
  <si>
    <r>
      <t>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</si>
  <si>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r>
      <t>121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BSB</t>
    </r>
  </si>
  <si>
    <r>
      <t>27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</si>
  <si>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AVN BDE</t>
    </r>
  </si>
  <si>
    <t>1-38 IN</t>
  </si>
  <si>
    <r>
      <t>703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BSB</t>
    </r>
  </si>
  <si>
    <r>
      <t>704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</si>
  <si>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94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</si>
  <si>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1-40 CAV (A) (RSTA)</t>
  </si>
  <si>
    <t>2-321 FA (A)</t>
  </si>
  <si>
    <t>4-320 FA (AA)</t>
  </si>
  <si>
    <t>1-108 FA</t>
  </si>
  <si>
    <r>
      <t>145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(IDNG)</t>
    </r>
  </si>
  <si>
    <r>
      <t>935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</t>
    </r>
  </si>
  <si>
    <r>
      <t>106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</si>
  <si>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638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</t>
    </r>
  </si>
  <si>
    <r>
      <t>181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BSB</t>
    </r>
  </si>
  <si>
    <r>
      <t>42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ASB</t>
    </r>
  </si>
  <si>
    <t>1-2 IN</t>
  </si>
  <si>
    <t>2/7 SF (A)</t>
  </si>
  <si>
    <r>
      <t>742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MI BN</t>
    </r>
  </si>
  <si>
    <t>1-377 FA (HIMARS) (AA)</t>
  </si>
  <si>
    <r>
      <t>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</si>
  <si>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r>
      <t>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AVN BDE</t>
    </r>
  </si>
  <si>
    <r>
      <t>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AVN BDE</t>
    </r>
  </si>
  <si>
    <r>
      <t>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CAB BSTB</t>
    </r>
  </si>
  <si>
    <t>2-1 CAV (RSTA)</t>
  </si>
  <si>
    <r>
      <t>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AVN BDE</t>
    </r>
  </si>
  <si>
    <r>
      <t>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AVN BDE</t>
    </r>
  </si>
  <si>
    <r>
      <t>10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AVN BDE</t>
    </r>
  </si>
  <si>
    <t>2-377 FA (A)</t>
  </si>
  <si>
    <r>
      <t>782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 (A)</t>
    </r>
  </si>
  <si>
    <r>
      <t>801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BSB (AA)</t>
    </r>
  </si>
  <si>
    <r>
      <t>238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</si>
  <si>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2-28 IN</t>
  </si>
  <si>
    <t>3/7 SF (A)</t>
  </si>
  <si>
    <r>
      <t>743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MI BN</t>
    </r>
  </si>
  <si>
    <r>
      <t>308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(AA)</t>
    </r>
  </si>
  <si>
    <r>
      <t>14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</si>
  <si>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r>
      <t>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</si>
  <si>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r>
      <t>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</si>
  <si>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t>1-1 AVN (ASLT)</t>
  </si>
  <si>
    <t>2-12 FA</t>
  </si>
  <si>
    <r>
      <t>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CAB BSTB</t>
    </r>
  </si>
  <si>
    <r>
      <t>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</si>
  <si>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r>
      <t>10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</si>
  <si>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t>725 BSB (A)</t>
  </si>
  <si>
    <r>
      <t>82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AVN BDE (A)</t>
    </r>
  </si>
  <si>
    <r>
      <t>101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AVN BDE (AA)</t>
    </r>
  </si>
  <si>
    <r>
      <t>34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</si>
  <si>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r>
      <t>256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IBCT BSTB</t>
    </r>
  </si>
  <si>
    <r>
      <t>40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</si>
  <si>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t>1-77 FA</t>
  </si>
  <si>
    <t>7 GSB (SO)(A)</t>
  </si>
  <si>
    <r>
      <t>902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MI BDE (USA)</t>
    </r>
  </si>
  <si>
    <t>1-501 AVN (ASLT)</t>
  </si>
  <si>
    <t>1-227 AVN (ASLT)</t>
  </si>
  <si>
    <t>2-1 AVN (ATK)</t>
  </si>
  <si>
    <r>
      <t>702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</t>
    </r>
  </si>
  <si>
    <t>1-3 AVN (ASLT)</t>
  </si>
  <si>
    <t>1-4 AVN (ASLT)</t>
  </si>
  <si>
    <t>1-10 AVN (ASLT)</t>
  </si>
  <si>
    <r>
      <t>25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AVN BDE</t>
    </r>
  </si>
  <si>
    <r>
      <t>82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CAB BSTB</t>
    </r>
  </si>
  <si>
    <r>
      <t>101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CAB BSTB (AA)</t>
    </r>
  </si>
  <si>
    <r>
      <t>28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</si>
  <si>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t>1-113 AVN (S&amp;S)(NDNG)</t>
  </si>
  <si>
    <t>2-108 CAV (RSTA)</t>
  </si>
  <si>
    <t>1-168 AVN (GSAB)(WANG)</t>
  </si>
  <si>
    <r>
      <t>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</si>
  <si>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t>10 SFG (A)</t>
  </si>
  <si>
    <r>
      <t>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IO CMD (LND)</t>
    </r>
  </si>
  <si>
    <r>
      <t>864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EN BN</t>
    </r>
  </si>
  <si>
    <t>2-501 AVN (ATK)</t>
  </si>
  <si>
    <t>2-227 AVN (ATK)</t>
  </si>
  <si>
    <t>3-1 AVN (LFT)</t>
  </si>
  <si>
    <r>
      <t>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AVN BDE</t>
    </r>
  </si>
  <si>
    <t>2-3 AVN (ATK)</t>
  </si>
  <si>
    <t>2-4 AVN (ATK)</t>
  </si>
  <si>
    <t>2-10 AVN (ATK)</t>
  </si>
  <si>
    <r>
      <t>25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</si>
  <si>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t>1-82 AVN (ASLT)(A)</t>
  </si>
  <si>
    <t>1-101 AVN (ASLT)(AA)</t>
  </si>
  <si>
    <t>1-104 AVN (ATK)(PANG)</t>
  </si>
  <si>
    <t>2-147 AVN (ASLT)(MNNG)</t>
  </si>
  <si>
    <t>2-156 IN</t>
  </si>
  <si>
    <t>1-140 AVN (ASLT)</t>
  </si>
  <si>
    <r>
      <t>172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</t>
    </r>
  </si>
  <si>
    <t>10 GSTB (SO)(A)</t>
  </si>
  <si>
    <t>AOA</t>
  </si>
  <si>
    <t>3-501 AVN (LFT)</t>
  </si>
  <si>
    <t>3-227 AVN (LFT)</t>
  </si>
  <si>
    <t>1-6 CAV (ISR/SPEC)</t>
  </si>
  <si>
    <r>
      <t>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CAB BSTB</t>
    </r>
  </si>
  <si>
    <t>3-3 AVN (LFT)</t>
  </si>
  <si>
    <t>3-4 AVN (LFT)</t>
  </si>
  <si>
    <t>3-10 AVN (LFT)</t>
  </si>
  <si>
    <t>2-6 CAV (ASLT)</t>
  </si>
  <si>
    <t>2-17 CAV (ATK)(A)</t>
  </si>
  <si>
    <t>2-101 AVN (ATK)(AA)</t>
  </si>
  <si>
    <t>2-104 AVN (GS)(PANG)</t>
  </si>
  <si>
    <t>1-183 AVN (ATK)(IDNG)</t>
  </si>
  <si>
    <t>3-156 IN</t>
  </si>
  <si>
    <t>3-140 AVN (S&amp;S)</t>
  </si>
  <si>
    <t>1/10 SF (A)</t>
  </si>
  <si>
    <t>CCF</t>
  </si>
  <si>
    <t>MP BDE</t>
  </si>
  <si>
    <t>4-501 AVN (ISR/SPEC)</t>
  </si>
  <si>
    <t>4-227 AVN (ISR/SPEC)</t>
  </si>
  <si>
    <r>
      <t>601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</t>
    </r>
  </si>
  <si>
    <t>1-2 AVN (ASLT)</t>
  </si>
  <si>
    <t>4-3 AVN (ISR/SPEC)</t>
  </si>
  <si>
    <t>4-4 AVN (ISR/SPEC)</t>
  </si>
  <si>
    <t>6-6 CAV (ISR/SPEC)</t>
  </si>
  <si>
    <t>2-25 AVN (ATK)</t>
  </si>
  <si>
    <t>3-82 AVN (LFT)(A)</t>
  </si>
  <si>
    <t>3-101 AVN (LFT)(AA)</t>
  </si>
  <si>
    <t>1-150 AVN (ASLT)(NJNG)</t>
  </si>
  <si>
    <t>1-189 AVN (GS)(MTNG)</t>
  </si>
  <si>
    <t>1-211 AVN (A/R)(UTNG)</t>
  </si>
  <si>
    <r>
      <t>68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CSSB</t>
    </r>
  </si>
  <si>
    <t>2/10 SF (A)</t>
  </si>
  <si>
    <t>JSTARS</t>
  </si>
  <si>
    <r>
      <t>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MP BDE</t>
    </r>
  </si>
  <si>
    <r>
      <t>127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</t>
    </r>
  </si>
  <si>
    <r>
      <t>615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</t>
    </r>
  </si>
  <si>
    <r>
      <t>43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SB</t>
    </r>
  </si>
  <si>
    <t>2-2 AVN (ATK)</t>
  </si>
  <si>
    <t>3-17 CAV</t>
  </si>
  <si>
    <r>
      <t>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</t>
    </r>
  </si>
  <si>
    <r>
      <t>277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</t>
    </r>
  </si>
  <si>
    <t>3-25 AVN (LFT)</t>
  </si>
  <si>
    <t>4-82 AVN (ISR/SPEC)(A)</t>
  </si>
  <si>
    <t>4-101 AVN (ISR/SPEC)(AA)</t>
  </si>
  <si>
    <t>1-224 AVN (S&amp;S)(PANG)</t>
  </si>
  <si>
    <r>
      <t>834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 (MNNG)</t>
    </r>
  </si>
  <si>
    <r>
      <t>199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</si>
  <si>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40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</t>
    </r>
  </si>
  <si>
    <t>3/10 SF (A)</t>
  </si>
  <si>
    <t>NGIC</t>
  </si>
  <si>
    <r>
      <t>793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MP BN</t>
    </r>
  </si>
  <si>
    <r>
      <t>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SB</t>
    </r>
  </si>
  <si>
    <r>
      <t>16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SB</t>
    </r>
  </si>
  <si>
    <r>
      <t>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CSSB</t>
    </r>
  </si>
  <si>
    <t>3-2 AVN (LFT)</t>
  </si>
  <si>
    <r>
      <t>603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ASB</t>
    </r>
  </si>
  <si>
    <r>
      <t>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SB</t>
    </r>
  </si>
  <si>
    <r>
      <t>10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SB</t>
    </r>
  </si>
  <si>
    <t>6-17 CAV (ISR/SPEC)</t>
  </si>
  <si>
    <r>
      <t>122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ASB</t>
    </r>
  </si>
  <si>
    <t>5-101 AVN (LFT) (AA)</t>
  </si>
  <si>
    <r>
      <t>628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 (PANG)</t>
    </r>
  </si>
  <si>
    <t>10 GSB (SO)(A)</t>
  </si>
  <si>
    <r>
      <t>201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BFSB</t>
    </r>
  </si>
  <si>
    <r>
      <t>42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MP BDE</t>
    </r>
  </si>
  <si>
    <r>
      <t>541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CSSB</t>
    </r>
  </si>
  <si>
    <r>
      <t>391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CSSB</t>
    </r>
  </si>
  <si>
    <t>4-2 AVN (ISR/SPEC)</t>
  </si>
  <si>
    <r>
      <t>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SB</t>
    </r>
  </si>
  <si>
    <r>
      <t>553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CSSB</t>
    </r>
  </si>
  <si>
    <r>
      <t>548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CSSB</t>
    </r>
  </si>
  <si>
    <r>
      <t>209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</t>
    </r>
  </si>
  <si>
    <r>
      <t>82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SB</t>
    </r>
  </si>
  <si>
    <t>6-101 AVN (ASLT) (AA)</t>
  </si>
  <si>
    <r>
      <t>36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CAB BSTB</t>
    </r>
  </si>
  <si>
    <t>160 SOAR</t>
  </si>
  <si>
    <r>
      <t>109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</si>
  <si>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r>
      <t>504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MP BN</t>
    </r>
  </si>
  <si>
    <r>
      <t>602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ASB</t>
    </r>
  </si>
  <si>
    <r>
      <t>87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CSSB</t>
    </r>
  </si>
  <si>
    <r>
      <t>501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SB</t>
    </r>
  </si>
  <si>
    <r>
      <t>264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CSSB</t>
    </r>
  </si>
  <si>
    <t>2-17 CAV</t>
  </si>
  <si>
    <t>2-149 AVN (GSAB)(TXNG)</t>
  </si>
  <si>
    <t>160 RSTB (A)</t>
  </si>
  <si>
    <r>
      <t>250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</si>
  <si>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r>
      <t>508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MP BN</t>
    </r>
  </si>
  <si>
    <r>
      <t>593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SB</t>
    </r>
  </si>
  <si>
    <r>
      <t>194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CSSB</t>
    </r>
  </si>
  <si>
    <r>
      <t>96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</t>
    </r>
  </si>
  <si>
    <t>1-149 AVN (A/R)(TXNG)</t>
  </si>
  <si>
    <t>1-160 AVN (A)</t>
  </si>
  <si>
    <r>
      <t>502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MI BN</t>
    </r>
  </si>
  <si>
    <r>
      <t>89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MP BDE</t>
    </r>
  </si>
  <si>
    <t>7-17 CAV</t>
  </si>
  <si>
    <t>3-131 AVN (ASLT)(ALNG)</t>
  </si>
  <si>
    <t>2-160 AVN (A)</t>
  </si>
  <si>
    <r>
      <t>504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BFSB</t>
    </r>
  </si>
  <si>
    <r>
      <t>720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MP BN</t>
    </r>
  </si>
  <si>
    <r>
      <t>563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ASB</t>
    </r>
  </si>
  <si>
    <t>1-114 AVN (S&amp;S)(ARNG)</t>
  </si>
  <si>
    <t>3-160 AVN (A)</t>
  </si>
  <si>
    <r>
      <t>15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</si>
  <si>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r>
      <t>92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MP BN</t>
    </r>
  </si>
  <si>
    <r>
      <t>101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SB</t>
    </r>
  </si>
  <si>
    <r>
      <t>449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 (TXNG)</t>
    </r>
  </si>
  <si>
    <t>4-160 AVN (A)</t>
  </si>
  <si>
    <r>
      <t>163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MI BN</t>
    </r>
  </si>
  <si>
    <r>
      <t>93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MP BN</t>
    </r>
  </si>
  <si>
    <r>
      <t>129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CSSB</t>
    </r>
  </si>
  <si>
    <t>160 RSB (A)</t>
  </si>
  <si>
    <r>
      <t>303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MI BN</t>
    </r>
  </si>
  <si>
    <r>
      <t>97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MP BN</t>
    </r>
  </si>
  <si>
    <r>
      <t>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PSYOP BDE (A)</t>
    </r>
  </si>
  <si>
    <r>
      <t>525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BFSB</t>
    </r>
  </si>
  <si>
    <t>4 PSY BSTB</t>
  </si>
  <si>
    <r>
      <t>319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</si>
  <si>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r>
      <t>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PSY BN (A) (SOU)</t>
    </r>
  </si>
  <si>
    <r>
      <t>519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MI BN</t>
    </r>
  </si>
  <si>
    <r>
      <t>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PSY BN (A) (DISSEM)</t>
    </r>
  </si>
  <si>
    <t>1-38 CAV (RSTA)</t>
  </si>
  <si>
    <r>
      <t>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PSY BN (A) (PAC)</t>
    </r>
  </si>
  <si>
    <r>
      <t>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PSY BN (A) (EUR)</t>
    </r>
  </si>
  <si>
    <r>
      <t>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PSY BN (A) (CENT)</t>
    </r>
  </si>
  <si>
    <r>
      <t>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PSY BN (A) (TAC)</t>
    </r>
  </si>
  <si>
    <r>
      <t>95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 BDE</t>
    </r>
  </si>
  <si>
    <r>
      <t>96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 BN (A) (CENT)</t>
    </r>
  </si>
  <si>
    <r>
      <t>98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 BN (A) (SOUTH)</t>
    </r>
  </si>
  <si>
    <r>
      <t>97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CA BN (A) (PAC)</t>
    </r>
  </si>
  <si>
    <r>
      <t>91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CA BN (A) (AFRI)</t>
    </r>
  </si>
  <si>
    <t>SOSC</t>
  </si>
  <si>
    <t>SOTSE-SOUTH</t>
  </si>
  <si>
    <t>SOTSE-EUR</t>
  </si>
  <si>
    <t>SOTSE-CENT</t>
  </si>
  <si>
    <t>SOTSE-PAC</t>
  </si>
  <si>
    <t>SOTSE-AFRI</t>
  </si>
  <si>
    <t>SOC-MMC</t>
  </si>
  <si>
    <r>
      <t>528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SPT BN (SO)(A)</t>
    </r>
  </si>
  <si>
    <r>
      <t>112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SIG BN (SO)(A)</t>
    </r>
  </si>
  <si>
    <t>AR BN</t>
  </si>
  <si>
    <t>IN BN</t>
  </si>
  <si>
    <t>CAV SQ</t>
  </si>
  <si>
    <t>FA BN</t>
  </si>
  <si>
    <t>AVN</t>
  </si>
  <si>
    <t>BSB/ASB/CSSB</t>
  </si>
  <si>
    <r>
      <t>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</si>
  <si>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25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</si>
  <si>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r>
      <t>29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</si>
  <si>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r>
      <t>39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</si>
  <si>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r>
      <t>40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</si>
  <si>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3-109 AR (NG)</t>
  </si>
  <si>
    <r>
      <t>40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 (NG)*</t>
    </r>
  </si>
  <si>
    <r>
      <t>42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ASB (NG)</t>
    </r>
  </si>
  <si>
    <t>1-194 AR (CAMB)(NG)</t>
  </si>
  <si>
    <r>
      <t>53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BSB (NG)</t>
    </r>
  </si>
  <si>
    <t>1-198 AR (NG)</t>
  </si>
  <si>
    <t>1-6 CAV (AVN)(ISR/SPEC)</t>
  </si>
  <si>
    <t>2-6 CAV (AVN)(ASLT)</t>
  </si>
  <si>
    <r>
      <t>82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</t>
    </r>
  </si>
  <si>
    <t>6-6 CAV (AVN)(ISR/SPEC)</t>
  </si>
  <si>
    <t>1-18 IN</t>
  </si>
  <si>
    <r>
      <t>106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</si>
  <si>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r>
      <t>113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</si>
  <si>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r>
      <t>128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</si>
  <si>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r>
      <t>132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 (NG)</t>
    </r>
  </si>
  <si>
    <r>
      <t>134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</si>
  <si>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r>
      <t>141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BSB (NG)</t>
    </r>
  </si>
  <si>
    <r>
      <t>148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</si>
  <si>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1-140 AVN (ASLT) (NG)</t>
  </si>
  <si>
    <t>3-140 AVN (S&amp;S) (NG)</t>
  </si>
  <si>
    <t>2-17 CAV (AVN)</t>
  </si>
  <si>
    <t>3-142 AVN (ASLT) (NG)</t>
  </si>
  <si>
    <r>
      <t>173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BSB</t>
    </r>
  </si>
  <si>
    <t>3-17 CAV (AVN)</t>
  </si>
  <si>
    <r>
      <t>188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</si>
  <si>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6-17 CAV (AVN)(ISR/SPEC)</t>
  </si>
  <si>
    <r>
      <t>181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BSB (NG)</t>
    </r>
  </si>
  <si>
    <t>7-17 CAV (AVN)</t>
  </si>
  <si>
    <r>
      <t>186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</si>
  <si>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1-69 IN (NG)</t>
  </si>
  <si>
    <t>1-18 CAV (RSTA) (NG)</t>
  </si>
  <si>
    <t>1-19 CAV (RSTA) (NG)</t>
  </si>
  <si>
    <t>1-107 FA (NG)</t>
  </si>
  <si>
    <t>1-151 AVN (A/R) (NG)</t>
  </si>
  <si>
    <r>
      <t>199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</si>
  <si>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1-108 FA (NG)</t>
  </si>
  <si>
    <t>1-111 FA (NG)</t>
  </si>
  <si>
    <t>2-108 IN (NG)</t>
  </si>
  <si>
    <t>1-112 FA (NG)</t>
  </si>
  <si>
    <t>1-110 IN (NG)</t>
  </si>
  <si>
    <t>1-111 IN (NG)</t>
  </si>
  <si>
    <t>2-114 FA (NG)</t>
  </si>
  <si>
    <t>1-112 IN (NG)</t>
  </si>
  <si>
    <t>3-115 FA (NG)</t>
  </si>
  <si>
    <t>2-112 IN (NG)</t>
  </si>
  <si>
    <t>3-116 FA (NG)</t>
  </si>
  <si>
    <t>1-113 IN (NG)</t>
  </si>
  <si>
    <t>1-118 FA (NG)</t>
  </si>
  <si>
    <r>
      <t>225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</si>
  <si>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1-114 IN (NG)</t>
  </si>
  <si>
    <t>1-120 FA (NG)</t>
  </si>
  <si>
    <t>1-116 IN (NG)</t>
  </si>
  <si>
    <t>2-122 FA (NG)</t>
  </si>
  <si>
    <r>
      <t>237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</si>
  <si>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3-116 IN (NG)</t>
  </si>
  <si>
    <t>1-125 FA (NG)</t>
  </si>
  <si>
    <r>
      <t>238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</si>
  <si>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4-117 IN (NG)</t>
  </si>
  <si>
    <t>1-133 FA (NG)</t>
  </si>
  <si>
    <r>
      <t>250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</si>
  <si>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1-82 CAV (RSTA) (NG)</t>
  </si>
  <si>
    <t>3-133 FA (NG)</t>
  </si>
  <si>
    <t>8-229 AVN (R&amp;A) (NG)</t>
  </si>
  <si>
    <t>1-121 IN (NG)</t>
  </si>
  <si>
    <t>1-134 FA (NG)</t>
  </si>
  <si>
    <t>2-121 IN (NG)</t>
  </si>
  <si>
    <t>1-144 FA (NG)</t>
  </si>
  <si>
    <t>1-124 IN (NG)</t>
  </si>
  <si>
    <t>2-146 FA (NG)</t>
  </si>
  <si>
    <t>3-124 IN (NG)</t>
  </si>
  <si>
    <t>1-98 CAV (RSTA) (NG)</t>
  </si>
  <si>
    <r>
      <t>307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</si>
  <si>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2-101 CAV (RSTA) (NG)</t>
  </si>
  <si>
    <t>1-160 FA (NG)</t>
  </si>
  <si>
    <r>
      <t>308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</si>
  <si>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2-127 IN (NG)</t>
  </si>
  <si>
    <t>1-102 CAV (RSTA) (NG)</t>
  </si>
  <si>
    <t>1-163 FA (NG)</t>
  </si>
  <si>
    <r>
      <t>334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</si>
  <si>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1-128 IN (NG)</t>
  </si>
  <si>
    <t>2-104 CAV (NG)</t>
  </si>
  <si>
    <t>1-194 FA (NG)</t>
  </si>
  <si>
    <r>
      <t>342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 (NG)</t>
    </r>
  </si>
  <si>
    <t>2-130 IN (NG)</t>
  </si>
  <si>
    <t>1-105 CAV (RSTA) (NG)</t>
  </si>
  <si>
    <t>1-206 FA (NG)</t>
  </si>
  <si>
    <t>2-218 FA (NG)</t>
  </si>
  <si>
    <r>
      <t>325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</si>
  <si>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1-258 FA (NG)</t>
  </si>
  <si>
    <r>
      <t>407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</si>
  <si>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2-136 IN (CAMB) (NG)</t>
  </si>
  <si>
    <t>1-108 CAV (RSTA) (NG)</t>
  </si>
  <si>
    <r>
      <t>426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</si>
  <si>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1-141 IN (NG)</t>
  </si>
  <si>
    <t>2-108 CAV (RSTA) (NG)</t>
  </si>
  <si>
    <r>
      <t>429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</si>
  <si>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3-141 IN (NG)</t>
  </si>
  <si>
    <t>1-112 CAV (RSTA) (NG)</t>
  </si>
  <si>
    <t>2-142 IN (NG)</t>
  </si>
  <si>
    <r>
      <t>473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BSB (NG)</t>
    </r>
  </si>
  <si>
    <t>3-144 IN (NG)</t>
  </si>
  <si>
    <t>1-320 FA (A)</t>
  </si>
  <si>
    <t>1-148 IN (NG)</t>
  </si>
  <si>
    <t>2-320 FA (A)</t>
  </si>
  <si>
    <t>1-152 IN (NG)</t>
  </si>
  <si>
    <t>1-124 CAV (RSTA) (NG)</t>
  </si>
  <si>
    <t>3-320 FA (A)</t>
  </si>
  <si>
    <r>
      <t>526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</si>
  <si>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1-153 IN (NG)</t>
  </si>
  <si>
    <t>4-320 FA (A)</t>
  </si>
  <si>
    <r>
      <t>536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</si>
  <si>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2-153 IN (NG)</t>
  </si>
  <si>
    <t>1-155 IN (NG)</t>
  </si>
  <si>
    <t>1-151 CAV (RSTA) (NG)</t>
  </si>
  <si>
    <t>2-156 IN (NG)</t>
  </si>
  <si>
    <t>1-153 CAV (NG)</t>
  </si>
  <si>
    <t>3-156 IN (NG)</t>
  </si>
  <si>
    <t>2-172 CAV (RSTA) (NG)</t>
  </si>
  <si>
    <t>1-160 IN (NG)</t>
  </si>
  <si>
    <t>1-487 FA (NG)</t>
  </si>
  <si>
    <t>1-161 IN (NG)</t>
  </si>
  <si>
    <t>2-194 CAV (RSTA) (NG)</t>
  </si>
  <si>
    <r>
      <t>626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</si>
  <si>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2-162 IN (NG)</t>
  </si>
  <si>
    <t>1-203 CAV (RSTA) (NG)</t>
  </si>
  <si>
    <t>3-172 IN (MTN) (NG)</t>
  </si>
  <si>
    <t>1-238 CAV (RSTA) (NG)</t>
  </si>
  <si>
    <r>
      <t>634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</si>
  <si>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1-178 IN (NG)</t>
  </si>
  <si>
    <t>1-278 CAV (RSTA) (NG)</t>
  </si>
  <si>
    <r>
      <t>638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 (NG)</t>
    </r>
  </si>
  <si>
    <t>1-179 IN (NG)</t>
  </si>
  <si>
    <t>1-279 CAV (RSTA) (NG)</t>
  </si>
  <si>
    <r>
      <t>700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</si>
  <si>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1-180 IN (NG)</t>
  </si>
  <si>
    <t>1-184 IN (NG)</t>
  </si>
  <si>
    <t>1-186 IN (NG)</t>
  </si>
  <si>
    <t>2-187 IN (AA)</t>
  </si>
  <si>
    <r>
      <t>725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</t>
    </r>
  </si>
  <si>
    <t>1-293 IN (NG)</t>
  </si>
  <si>
    <r>
      <t>782</t>
    </r>
    <r>
      <rPr>
        <vertAlign val="superscript"/>
        <sz val="11"/>
        <color theme="1"/>
        <rFont val="Arial"/>
        <family val="2"/>
      </rPr>
      <t>nd</t>
    </r>
    <r>
      <rPr>
        <sz val="11"/>
        <color theme="1"/>
        <rFont val="Arial"/>
        <family val="2"/>
      </rPr>
      <t xml:space="preserve"> BSB</t>
    </r>
  </si>
  <si>
    <r>
      <t>801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BSB</t>
    </r>
  </si>
  <si>
    <r>
      <t>935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ASB (NG)</t>
    </r>
  </si>
  <si>
    <r>
      <t>949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BSB (NG)</t>
    </r>
  </si>
  <si>
    <t>100-442 IN (NG)</t>
  </si>
  <si>
    <t>1-501 IN(A)</t>
  </si>
  <si>
    <t>Army</t>
  </si>
  <si>
    <t>X Corps</t>
  </si>
  <si>
    <t>Corps</t>
  </si>
  <si>
    <t>X Divisions</t>
  </si>
  <si>
    <t>Division</t>
  </si>
  <si>
    <t>DSTB</t>
  </si>
  <si>
    <t>2-6x (IBCT/MBCT/HBCT)</t>
  </si>
  <si>
    <t>CAB</t>
  </si>
  <si>
    <t>SB</t>
  </si>
  <si>
    <t>0-1 MEB</t>
  </si>
  <si>
    <t>0-1 FIRES BDE</t>
  </si>
  <si>
    <t>0-1 BFSB</t>
  </si>
  <si>
    <t>Brigade</t>
  </si>
  <si>
    <t>IBCT</t>
  </si>
  <si>
    <t>SBCT/MBCT</t>
  </si>
  <si>
    <t>HBCT</t>
  </si>
  <si>
    <t>MEB</t>
  </si>
  <si>
    <t>BFSB</t>
  </si>
  <si>
    <t>BSTB</t>
  </si>
  <si>
    <t>BCT BSTB</t>
  </si>
  <si>
    <t>CAB BSTB</t>
  </si>
  <si>
    <t>SB BSTB</t>
  </si>
  <si>
    <t>MEB BSTB</t>
  </si>
  <si>
    <t>BFSB BSTB</t>
  </si>
  <si>
    <t>2-6x BN</t>
  </si>
  <si>
    <t>2x IN BN (L)</t>
  </si>
  <si>
    <t>3x IN BN (M)</t>
  </si>
  <si>
    <t>2x IN/AR/CAV BN/SQ (H)</t>
  </si>
  <si>
    <t>AVN BN (A/R)</t>
  </si>
  <si>
    <t>1+ CSSB</t>
  </si>
  <si>
    <t>1+ EN BN</t>
  </si>
  <si>
    <t>1+ MI BN</t>
  </si>
  <si>
    <t>BSB</t>
  </si>
  <si>
    <t>CAV SQ (RSTA)</t>
  </si>
  <si>
    <t>AVN BN (ASLT)</t>
  </si>
  <si>
    <t>0-1+ EN BN (SEP)</t>
  </si>
  <si>
    <t>1+ MP BN</t>
  </si>
  <si>
    <t>1+ CAV SQ (RSTA)</t>
  </si>
  <si>
    <t>AVN BN (GSAB)</t>
  </si>
  <si>
    <t>0-1+ MED BN (SEP)</t>
  </si>
  <si>
    <t>0-1+ AMD BN</t>
  </si>
  <si>
    <t>1+ BSB</t>
  </si>
  <si>
    <t>AVN BN (S&amp;S)</t>
  </si>
  <si>
    <t>0-1+ TRAN BN (SEP)</t>
  </si>
  <si>
    <t>0-1+ TRAN BN</t>
  </si>
  <si>
    <t>ASB</t>
  </si>
  <si>
    <t>0-1+ ORD BN (SEP)</t>
  </si>
  <si>
    <t>1+ CBRNE BN</t>
  </si>
  <si>
    <t>0-1+ QM BN (SEP)</t>
  </si>
  <si>
    <t>0-1+ SVC BN (SEP)</t>
  </si>
  <si>
    <t>0-1+ MAINT BN (SEP)</t>
  </si>
  <si>
    <t>Battalion</t>
  </si>
  <si>
    <t>DIV STB (DSTB)</t>
  </si>
  <si>
    <t>IBCT IN BN (L)</t>
  </si>
  <si>
    <t>IBCT CAV SQ (L)</t>
  </si>
  <si>
    <t>IBCT FA BN (L)</t>
  </si>
  <si>
    <t>IBCT BSB (L)</t>
  </si>
  <si>
    <t>SB CSSB</t>
  </si>
  <si>
    <t>EN BN</t>
  </si>
  <si>
    <t>HHC BN</t>
  </si>
  <si>
    <t>LT IN BN HHC (L)</t>
  </si>
  <si>
    <t>SQ HHT (L)</t>
  </si>
  <si>
    <t>BN HHB (L)</t>
  </si>
  <si>
    <t>BN HHC (L)</t>
  </si>
  <si>
    <t>AVN BN HHC</t>
  </si>
  <si>
    <t>BN HHC</t>
  </si>
  <si>
    <t>2-8x CO</t>
  </si>
  <si>
    <t>DIV HQ</t>
  </si>
  <si>
    <t>BDE HQ</t>
  </si>
  <si>
    <t>RSTA CO (L)</t>
  </si>
  <si>
    <t>TUAV PLT (L)</t>
  </si>
  <si>
    <t>TA PLT</t>
  </si>
  <si>
    <t>DISTR CO</t>
  </si>
  <si>
    <t>3x AVN CO (A/R) (AH64/ARH70)</t>
  </si>
  <si>
    <t>CBT EN CO</t>
  </si>
  <si>
    <t>FSC</t>
  </si>
  <si>
    <t>MCG</t>
  </si>
  <si>
    <t>SIG CO</t>
  </si>
  <si>
    <t>2x INF CO (L)</t>
  </si>
  <si>
    <t>RECCE TRP (L)</t>
  </si>
  <si>
    <t>3x ARTY BTRY (M777)</t>
  </si>
  <si>
    <t>MED CO</t>
  </si>
  <si>
    <t>ASC</t>
  </si>
  <si>
    <t>MAINT CO</t>
  </si>
  <si>
    <t>CONSTR CO</t>
  </si>
  <si>
    <t>2x TACP</t>
  </si>
  <si>
    <t>SECTY CO</t>
  </si>
  <si>
    <t>WPNS CO (L)</t>
  </si>
  <si>
    <t>SURV TRP (L)</t>
  </si>
  <si>
    <t>AMD BTRY (SR/PD)</t>
  </si>
  <si>
    <t>TRANS CO</t>
  </si>
  <si>
    <t>BRIDGE CO</t>
  </si>
  <si>
    <t>SPT CO</t>
  </si>
  <si>
    <t>FIRES CO (L)</t>
  </si>
  <si>
    <t>INTEL CO (L)</t>
  </si>
  <si>
    <t>IO PLT</t>
  </si>
  <si>
    <t>SVCS CO</t>
  </si>
  <si>
    <t>ENG SPT CO</t>
  </si>
  <si>
    <t>BDE TRP CO</t>
  </si>
  <si>
    <t>FSC (L)</t>
  </si>
  <si>
    <t>FST (L)</t>
  </si>
  <si>
    <t>FSB (L)</t>
  </si>
  <si>
    <t>ENG CO</t>
  </si>
  <si>
    <t>3x AVN CO (ASLT)(UH60)</t>
  </si>
  <si>
    <t>QM CO</t>
  </si>
  <si>
    <t>DIV TRP CO</t>
  </si>
  <si>
    <t>MBCT IN BN (M)</t>
  </si>
  <si>
    <t>MBCT CAV SQ (M)</t>
  </si>
  <si>
    <t>MBCT FA BN (M)</t>
  </si>
  <si>
    <t>MBCT BSB (M)</t>
  </si>
  <si>
    <t>HR CO</t>
  </si>
  <si>
    <t>MP BN</t>
  </si>
  <si>
    <t>MD IN BN HHC (M)</t>
  </si>
  <si>
    <t>SQ HHT (M)</t>
  </si>
  <si>
    <t>BN HHB (M)</t>
  </si>
  <si>
    <t>BN HHC (M)</t>
  </si>
  <si>
    <t>2-6x MP CO</t>
  </si>
  <si>
    <t>RSTA CO (M)</t>
  </si>
  <si>
    <t>TUAV PLT</t>
  </si>
  <si>
    <t>TRAN BN (SEP)</t>
  </si>
  <si>
    <t>2x INF CO (M)</t>
  </si>
  <si>
    <t>RECCE TRP (M)</t>
  </si>
  <si>
    <t>3x ARTY BTRY (NLOSC)</t>
  </si>
  <si>
    <t>AMD BN</t>
  </si>
  <si>
    <t>MGS CO (M)</t>
  </si>
  <si>
    <t>SURV TRP (M)</t>
  </si>
  <si>
    <t>AVN CO (LFT)(CH47)</t>
  </si>
  <si>
    <t>MED TRK CO</t>
  </si>
  <si>
    <t>BN HHB</t>
  </si>
  <si>
    <t>FIRES CO (M)</t>
  </si>
  <si>
    <t>INTEL CO (M)</t>
  </si>
  <si>
    <t>AVN CO (EVAC/CSAR)(HH60)</t>
  </si>
  <si>
    <t>TERM CO</t>
  </si>
  <si>
    <t>4x MR AMD BTRY</t>
  </si>
  <si>
    <t>FSC (M)</t>
  </si>
  <si>
    <t>FST (M)</t>
  </si>
  <si>
    <t>FSB (M)</t>
  </si>
  <si>
    <t>AVN CO (UTIL)(UH60)</t>
  </si>
  <si>
    <t>HVY TRK CO</t>
  </si>
  <si>
    <t>SR AMD BTRY</t>
  </si>
  <si>
    <t>HBCT MNVR BN (H)</t>
  </si>
  <si>
    <t>HBCT CAV SQ (H)</t>
  </si>
  <si>
    <t>HBCT FA BN (H)</t>
  </si>
  <si>
    <t>HBCT BSB (H)</t>
  </si>
  <si>
    <t>HV MNVR BN HHC/HHT (H)</t>
  </si>
  <si>
    <t>SQ HHT (H)</t>
  </si>
  <si>
    <t>BN HHB (H)</t>
  </si>
  <si>
    <t>BN HHC (H)</t>
  </si>
  <si>
    <t>MED BN (SEP)</t>
  </si>
  <si>
    <t>RSTA CO/TRP (H)</t>
  </si>
  <si>
    <t>AR CO/TRP (H)</t>
  </si>
  <si>
    <t>RECCE TRP (H)</t>
  </si>
  <si>
    <t>3x ARTY BTRY (M109)</t>
  </si>
  <si>
    <t>TMNT CO</t>
  </si>
  <si>
    <t>INF CO/TRP (H)</t>
  </si>
  <si>
    <t>SURV TRP (H)</t>
  </si>
  <si>
    <t>AVN OPS CO</t>
  </si>
  <si>
    <t>EVAC CO</t>
  </si>
  <si>
    <t>FIRES CO/TRP (H)</t>
  </si>
  <si>
    <t>INTEL CO (H)</t>
  </si>
  <si>
    <t>MF MED CO</t>
  </si>
  <si>
    <t>FSC/FST (H)</t>
  </si>
  <si>
    <t>FST (H)</t>
  </si>
  <si>
    <t>FSB (H)</t>
  </si>
  <si>
    <t>MED SPT CO</t>
  </si>
  <si>
    <t>AVN SPT BN</t>
  </si>
  <si>
    <t>QM BN (SEP)</t>
  </si>
  <si>
    <t>POL SPLY CO</t>
  </si>
  <si>
    <t>WATER SPLY CO</t>
  </si>
  <si>
    <t>AMMO SPLY CO</t>
  </si>
  <si>
    <t>MAINT BN (SEP)</t>
  </si>
  <si>
    <t>RECVY CO</t>
  </si>
  <si>
    <t>MF MAINT CO</t>
  </si>
  <si>
    <t>SVCS BN</t>
  </si>
  <si>
    <t>BASE CO</t>
  </si>
  <si>
    <t>BN</t>
  </si>
  <si>
    <t>TM LDR</t>
  </si>
  <si>
    <r>
      <t>10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Army</t>
    </r>
  </si>
  <si>
    <r>
      <t>7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Army (EUR)</t>
    </r>
  </si>
  <si>
    <r>
      <t>8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Army (PAC)</t>
    </r>
  </si>
  <si>
    <r>
      <t>10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USA HQ</t>
    </r>
  </si>
  <si>
    <r>
      <t>7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USA HQ</t>
    </r>
  </si>
  <si>
    <r>
      <t>8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USA HQ</t>
    </r>
  </si>
  <si>
    <r>
      <t>1</t>
    </r>
    <r>
      <rPr>
        <vertAlign val="superscript"/>
        <sz val="10"/>
        <color theme="1"/>
        <rFont val="Arial"/>
        <family val="2"/>
      </rPr>
      <t>st</t>
    </r>
    <r>
      <rPr>
        <sz val="10"/>
        <color theme="1"/>
        <rFont val="Arial"/>
        <family val="2"/>
      </rPr>
      <t xml:space="preserve"> Army (USARES)</t>
    </r>
  </si>
  <si>
    <r>
      <t>27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BDE (NYARNG)</t>
    </r>
  </si>
  <si>
    <r>
      <t>173</t>
    </r>
    <r>
      <rPr>
        <vertAlign val="superscript"/>
        <sz val="10"/>
        <color theme="1"/>
        <rFont val="Arial"/>
        <family val="2"/>
      </rPr>
      <t>rd</t>
    </r>
    <r>
      <rPr>
        <sz val="10"/>
        <color theme="1"/>
        <rFont val="Arial"/>
        <family val="2"/>
      </rPr>
      <t xml:space="preserve"> ABN BCT</t>
    </r>
  </si>
  <si>
    <r>
      <t>3</t>
    </r>
    <r>
      <rPr>
        <vertAlign val="superscript"/>
        <sz val="10"/>
        <color theme="1"/>
        <rFont val="Arial"/>
        <family val="2"/>
      </rPr>
      <t>rd</t>
    </r>
    <r>
      <rPr>
        <sz val="10"/>
        <color theme="1"/>
        <rFont val="Arial"/>
        <family val="2"/>
      </rPr>
      <t xml:space="preserve"> ACR</t>
    </r>
  </si>
  <si>
    <r>
      <t>2</t>
    </r>
    <r>
      <rPr>
        <vertAlign val="superscript"/>
        <sz val="10"/>
        <color theme="1"/>
        <rFont val="Arial"/>
        <family val="2"/>
      </rPr>
      <t>nd</t>
    </r>
    <r>
      <rPr>
        <sz val="10"/>
        <color theme="1"/>
        <rFont val="Arial"/>
        <family val="2"/>
      </rPr>
      <t xml:space="preserve"> Army (USARSO)</t>
    </r>
  </si>
  <si>
    <r>
      <t>2</t>
    </r>
    <r>
      <rPr>
        <vertAlign val="superscript"/>
        <sz val="10"/>
        <color theme="1"/>
        <rFont val="Arial"/>
        <family val="2"/>
      </rPr>
      <t>nd</t>
    </r>
    <r>
      <rPr>
        <sz val="10"/>
        <color theme="1"/>
        <rFont val="Arial"/>
        <family val="2"/>
      </rPr>
      <t xml:space="preserve"> ID</t>
    </r>
  </si>
  <si>
    <r>
      <t>1</t>
    </r>
    <r>
      <rPr>
        <vertAlign val="superscript"/>
        <sz val="10"/>
        <color theme="1"/>
        <rFont val="Arial"/>
        <family val="2"/>
      </rPr>
      <t>st</t>
    </r>
    <r>
      <rPr>
        <sz val="10"/>
        <color theme="1"/>
        <rFont val="Arial"/>
        <family val="2"/>
      </rPr>
      <t xml:space="preserve"> AD</t>
    </r>
  </si>
  <si>
    <r>
      <t>10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MTN</t>
    </r>
  </si>
  <si>
    <r>
      <t>2</t>
    </r>
    <r>
      <rPr>
        <vertAlign val="superscript"/>
        <sz val="10"/>
        <color theme="1"/>
        <rFont val="Arial"/>
        <family val="2"/>
      </rPr>
      <t>nd</t>
    </r>
    <r>
      <rPr>
        <sz val="10"/>
        <color theme="1"/>
        <rFont val="Arial"/>
        <family val="2"/>
      </rPr>
      <t xml:space="preserve"> SCR</t>
    </r>
  </si>
  <si>
    <r>
      <t>11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ACR</t>
    </r>
  </si>
  <si>
    <r>
      <t>3</t>
    </r>
    <r>
      <rPr>
        <vertAlign val="superscript"/>
        <sz val="10"/>
        <color theme="1"/>
        <rFont val="Arial"/>
        <family val="2"/>
      </rPr>
      <t>rd</t>
    </r>
    <r>
      <rPr>
        <sz val="10"/>
        <color theme="1"/>
        <rFont val="Arial"/>
        <family val="2"/>
      </rPr>
      <t xml:space="preserve"> Army (USARCENT)</t>
    </r>
  </si>
  <si>
    <r>
      <t>167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Sustainment Command (Theater)</t>
    </r>
  </si>
  <si>
    <r>
      <t>25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</t>
    </r>
  </si>
  <si>
    <r>
      <t>1</t>
    </r>
    <r>
      <rPr>
        <vertAlign val="superscript"/>
        <sz val="10"/>
        <color theme="1"/>
        <rFont val="Arial"/>
        <family val="2"/>
      </rPr>
      <t>st</t>
    </r>
    <r>
      <rPr>
        <sz val="10"/>
        <color theme="1"/>
        <rFont val="Arial"/>
        <family val="2"/>
      </rPr>
      <t xml:space="preserve"> CD</t>
    </r>
  </si>
  <si>
    <r>
      <t>82</t>
    </r>
    <r>
      <rPr>
        <vertAlign val="superscript"/>
        <sz val="10"/>
        <color theme="1"/>
        <rFont val="Arial"/>
        <family val="2"/>
      </rPr>
      <t>nd</t>
    </r>
    <r>
      <rPr>
        <sz val="10"/>
        <color theme="1"/>
        <rFont val="Arial"/>
        <family val="2"/>
      </rPr>
      <t xml:space="preserve"> ABN</t>
    </r>
  </si>
  <si>
    <r>
      <t>170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IN BDE</t>
    </r>
  </si>
  <si>
    <r>
      <t>45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SB</t>
    </r>
  </si>
  <si>
    <r>
      <t>4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Army (USARAFRI)</t>
    </r>
  </si>
  <si>
    <r>
      <t>135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Sustainment Command (Expeditionary)</t>
    </r>
  </si>
  <si>
    <r>
      <t>4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</t>
    </r>
  </si>
  <si>
    <r>
      <t>1</t>
    </r>
    <r>
      <rPr>
        <vertAlign val="superscript"/>
        <sz val="10"/>
        <color theme="1"/>
        <rFont val="Arial"/>
        <family val="2"/>
      </rPr>
      <t>st</t>
    </r>
    <r>
      <rPr>
        <sz val="10"/>
        <color theme="1"/>
        <rFont val="Arial"/>
        <family val="2"/>
      </rPr>
      <t xml:space="preserve"> ID</t>
    </r>
  </si>
  <si>
    <r>
      <t>101</t>
    </r>
    <r>
      <rPr>
        <vertAlign val="superscript"/>
        <sz val="10"/>
        <color theme="1"/>
        <rFont val="Arial"/>
        <family val="2"/>
      </rPr>
      <t>st</t>
    </r>
    <r>
      <rPr>
        <sz val="10"/>
        <color theme="1"/>
        <rFont val="Arial"/>
        <family val="2"/>
      </rPr>
      <t xml:space="preserve"> ABN</t>
    </r>
  </si>
  <si>
    <r>
      <t>172</t>
    </r>
    <r>
      <rPr>
        <vertAlign val="superscript"/>
        <sz val="10"/>
        <color theme="1"/>
        <rFont val="Arial"/>
        <family val="2"/>
      </rPr>
      <t>nd</t>
    </r>
    <r>
      <rPr>
        <sz val="10"/>
        <color theme="1"/>
        <rFont val="Arial"/>
        <family val="2"/>
      </rPr>
      <t xml:space="preserve"> IN BDE</t>
    </r>
  </si>
  <si>
    <r>
      <t>5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Army (USARNORTH)</t>
    </r>
  </si>
  <si>
    <r>
      <t>184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Sustainment Command (Expeditionary)</t>
    </r>
  </si>
  <si>
    <r>
      <t>3</t>
    </r>
    <r>
      <rPr>
        <vertAlign val="superscript"/>
        <sz val="10"/>
        <color theme="1"/>
        <rFont val="Arial"/>
        <family val="2"/>
      </rPr>
      <t>rd</t>
    </r>
    <r>
      <rPr>
        <sz val="10"/>
        <color theme="1"/>
        <rFont val="Arial"/>
        <family val="2"/>
      </rPr>
      <t xml:space="preserve"> ID</t>
    </r>
  </si>
  <si>
    <r>
      <t>507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SB</t>
    </r>
  </si>
  <si>
    <r>
      <t>7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Army (USAREUR)</t>
    </r>
  </si>
  <si>
    <r>
      <t>8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Army (USARPAC)</t>
    </r>
  </si>
  <si>
    <r>
      <t>11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Army</t>
    </r>
  </si>
  <si>
    <r>
      <t>9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Army (USARSTRAT)</t>
    </r>
  </si>
  <si>
    <r>
      <t>11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USA HQ</t>
    </r>
  </si>
  <si>
    <r>
      <t>10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Army (USARFORSCOM)</t>
    </r>
  </si>
  <si>
    <r>
      <t>11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Army (USARNG)</t>
    </r>
  </si>
  <si>
    <r>
      <t>28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 (NG)</t>
    </r>
  </si>
  <si>
    <r>
      <t>35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 (NG)</t>
    </r>
  </si>
  <si>
    <r>
      <t>40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 (NG)</t>
    </r>
  </si>
  <si>
    <r>
      <t>2</t>
    </r>
    <r>
      <rPr>
        <vertAlign val="superscript"/>
        <sz val="10"/>
        <color theme="1"/>
        <rFont val="Arial"/>
        <family val="2"/>
      </rPr>
      <t>nd</t>
    </r>
    <r>
      <rPr>
        <sz val="10"/>
        <color theme="1"/>
        <rFont val="Arial"/>
        <family val="2"/>
      </rPr>
      <t xml:space="preserve"> HBCT (PANG)</t>
    </r>
  </si>
  <si>
    <r>
      <t>33</t>
    </r>
    <r>
      <rPr>
        <vertAlign val="superscript"/>
        <sz val="10"/>
        <color theme="1"/>
        <rFont val="Arial"/>
        <family val="2"/>
      </rPr>
      <t>rd</t>
    </r>
    <r>
      <rPr>
        <sz val="10"/>
        <color theme="1"/>
        <rFont val="Arial"/>
        <family val="2"/>
      </rPr>
      <t xml:space="preserve"> IBCT (ILNG)</t>
    </r>
  </si>
  <si>
    <r>
      <t>29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(HING)</t>
    </r>
  </si>
  <si>
    <r>
      <t>53</t>
    </r>
    <r>
      <rPr>
        <vertAlign val="superscript"/>
        <sz val="10"/>
        <color theme="1"/>
        <rFont val="Arial"/>
        <family val="2"/>
      </rPr>
      <t>rd</t>
    </r>
    <r>
      <rPr>
        <sz val="10"/>
        <color theme="1"/>
        <rFont val="Arial"/>
        <family val="2"/>
      </rPr>
      <t xml:space="preserve"> IBCT (FL NG)</t>
    </r>
  </si>
  <si>
    <r>
      <t>45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(OKNG)</t>
    </r>
  </si>
  <si>
    <r>
      <t>40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(CANG)</t>
    </r>
  </si>
  <si>
    <r>
      <t>55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HBCT (PANG)</t>
    </r>
  </si>
  <si>
    <r>
      <t>48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(GANG)</t>
    </r>
  </si>
  <si>
    <r>
      <t>41</t>
    </r>
    <r>
      <rPr>
        <vertAlign val="superscript"/>
        <sz val="10"/>
        <color theme="1"/>
        <rFont val="Arial"/>
        <family val="2"/>
      </rPr>
      <t>st</t>
    </r>
    <r>
      <rPr>
        <sz val="10"/>
        <color theme="1"/>
        <rFont val="Arial"/>
        <family val="2"/>
      </rPr>
      <t xml:space="preserve"> IBCT (ORNG)</t>
    </r>
  </si>
  <si>
    <r>
      <t>56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SBCT (PANG)</t>
    </r>
  </si>
  <si>
    <r>
      <t>35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 CAB</t>
    </r>
  </si>
  <si>
    <r>
      <t>81</t>
    </r>
    <r>
      <rPr>
        <vertAlign val="superscript"/>
        <sz val="10"/>
        <color theme="1"/>
        <rFont val="Arial"/>
        <family val="2"/>
      </rPr>
      <t>st</t>
    </r>
    <r>
      <rPr>
        <sz val="10"/>
        <color theme="1"/>
        <rFont val="Arial"/>
        <family val="2"/>
      </rPr>
      <t xml:space="preserve"> HBCT (WANG)</t>
    </r>
  </si>
  <si>
    <r>
      <t>28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 CAB</t>
    </r>
  </si>
  <si>
    <r>
      <t>36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 (NG)</t>
    </r>
  </si>
  <si>
    <r>
      <t>40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CAB (CANG)</t>
    </r>
  </si>
  <si>
    <r>
      <t>29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 (NG)</t>
    </r>
  </si>
  <si>
    <r>
      <t>39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(ARNG)</t>
    </r>
  </si>
  <si>
    <r>
      <t>42</t>
    </r>
    <r>
      <rPr>
        <vertAlign val="superscript"/>
        <sz val="10"/>
        <color theme="1"/>
        <rFont val="Arial"/>
        <family val="2"/>
      </rPr>
      <t>nd</t>
    </r>
    <r>
      <rPr>
        <sz val="10"/>
        <color theme="1"/>
        <rFont val="Arial"/>
        <family val="2"/>
      </rPr>
      <t xml:space="preserve"> ID (NG)</t>
    </r>
  </si>
  <si>
    <r>
      <t>30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HBCT (NCNG)</t>
    </r>
  </si>
  <si>
    <r>
      <t>56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(TXNG)</t>
    </r>
  </si>
  <si>
    <r>
      <t>27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(NYNG)</t>
    </r>
  </si>
  <si>
    <r>
      <t>116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(VANG)</t>
    </r>
  </si>
  <si>
    <r>
      <t>72</t>
    </r>
    <r>
      <rPr>
        <vertAlign val="superscript"/>
        <sz val="10"/>
        <color theme="1"/>
        <rFont val="Arial"/>
        <family val="2"/>
      </rPr>
      <t>nd</t>
    </r>
    <r>
      <rPr>
        <sz val="10"/>
        <color theme="1"/>
        <rFont val="Arial"/>
        <family val="2"/>
      </rPr>
      <t xml:space="preserve"> IBCT (TXNG)</t>
    </r>
  </si>
  <si>
    <r>
      <t>50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(NJNG)</t>
    </r>
  </si>
  <si>
    <r>
      <t>29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 CAB</t>
    </r>
  </si>
  <si>
    <r>
      <t>155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HBCT (MSNG)</t>
    </r>
  </si>
  <si>
    <r>
      <t>86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(MTN)(VTNG)</t>
    </r>
  </si>
  <si>
    <r>
      <t>34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 (NG)</t>
    </r>
  </si>
  <si>
    <r>
      <t>256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(LANG)</t>
    </r>
  </si>
  <si>
    <r>
      <t>42</t>
    </r>
    <r>
      <rPr>
        <vertAlign val="superscript"/>
        <sz val="10"/>
        <color theme="1"/>
        <rFont val="Arial"/>
        <family val="2"/>
      </rPr>
      <t>nd</t>
    </r>
    <r>
      <rPr>
        <sz val="10"/>
        <color theme="1"/>
        <rFont val="Arial"/>
        <family val="2"/>
      </rPr>
      <t xml:space="preserve"> CAB</t>
    </r>
  </si>
  <si>
    <r>
      <t>36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CAB</t>
    </r>
  </si>
  <si>
    <r>
      <t>38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 (NG)</t>
    </r>
  </si>
  <si>
    <r>
      <t>32</t>
    </r>
    <r>
      <rPr>
        <vertAlign val="superscript"/>
        <sz val="10"/>
        <color theme="1"/>
        <rFont val="Arial"/>
        <family val="2"/>
      </rPr>
      <t>nd</t>
    </r>
    <r>
      <rPr>
        <sz val="10"/>
        <color theme="1"/>
        <rFont val="Arial"/>
        <family val="2"/>
      </rPr>
      <t xml:space="preserve"> IBCT (WING)</t>
    </r>
  </si>
  <si>
    <r>
      <t>37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(OHNG)</t>
    </r>
  </si>
  <si>
    <r>
      <t>116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CAV HBCT (IDNG)</t>
    </r>
  </si>
  <si>
    <r>
      <t>76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IBCT (INNG)</t>
    </r>
  </si>
  <si>
    <r>
      <t>34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ID CAB</t>
    </r>
  </si>
  <si>
    <r>
      <t>278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HBCT (TNNG)</t>
    </r>
  </si>
  <si>
    <r>
      <t>38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CAB (INNG)</t>
    </r>
  </si>
  <si>
    <t>Company</t>
  </si>
  <si>
    <t>Platoon</t>
  </si>
  <si>
    <t>Squad</t>
  </si>
  <si>
    <t>Team</t>
  </si>
  <si>
    <t>DIV</t>
  </si>
  <si>
    <t>ARMY</t>
  </si>
  <si>
    <t>CORPS</t>
  </si>
  <si>
    <t>BDE</t>
  </si>
  <si>
    <t>CO</t>
  </si>
  <si>
    <t>PLT</t>
  </si>
  <si>
    <t>SQD</t>
  </si>
  <si>
    <t>TM</t>
  </si>
  <si>
    <t>HQ SQD</t>
  </si>
  <si>
    <t>HQ PLT</t>
  </si>
  <si>
    <t>3x PLT</t>
  </si>
  <si>
    <t>3x SQD</t>
  </si>
  <si>
    <t>HQ TM</t>
  </si>
  <si>
    <t>3x TM</t>
  </si>
  <si>
    <t>3x PAX</t>
  </si>
  <si>
    <t>BN HQ CO</t>
  </si>
  <si>
    <t>3x CO</t>
  </si>
  <si>
    <t>3x BN</t>
  </si>
  <si>
    <t>3x BDE</t>
  </si>
  <si>
    <t>3x DIV</t>
  </si>
  <si>
    <t>3x CORPS</t>
  </si>
  <si>
    <t>BDE HQ BN</t>
  </si>
  <si>
    <t>DIV HQ BN</t>
  </si>
  <si>
    <t>CORPS HQ BN</t>
  </si>
  <si>
    <t>ARMY HQ BN</t>
  </si>
  <si>
    <t>3x INF CO</t>
  </si>
  <si>
    <t>L INF BN</t>
  </si>
  <si>
    <t>ARTY BTRY</t>
  </si>
  <si>
    <t>CAV TRP</t>
  </si>
  <si>
    <t>L BDE CBT TM</t>
  </si>
  <si>
    <t>HQ BN</t>
  </si>
  <si>
    <t>3x L. INF BN</t>
  </si>
  <si>
    <t>L. SPT BN</t>
  </si>
  <si>
    <t>LBCT HQ BN</t>
  </si>
  <si>
    <t>LBCT HQ CO</t>
  </si>
  <si>
    <t>SIGNAL CO</t>
  </si>
  <si>
    <t>CA/PSY CO</t>
  </si>
  <si>
    <t>ISR CO</t>
  </si>
  <si>
    <t>MP CO</t>
  </si>
  <si>
    <t>WPNS PLT</t>
  </si>
  <si>
    <t>SPT PLT</t>
  </si>
  <si>
    <t>3x L. INF PLT</t>
  </si>
  <si>
    <t>SR AMD PLT</t>
  </si>
  <si>
    <t>PD AMD PLT</t>
  </si>
  <si>
    <t>SR MSL PLT</t>
  </si>
  <si>
    <t>HOW PLT</t>
  </si>
  <si>
    <t>L. INF PLT</t>
  </si>
  <si>
    <t>3x RIFLE SQD</t>
  </si>
  <si>
    <t>WPNS SQD</t>
  </si>
  <si>
    <t>QM SQD</t>
  </si>
  <si>
    <t>ENG SQD</t>
  </si>
  <si>
    <t>MAINT SQD</t>
  </si>
  <si>
    <t>MED SQD</t>
  </si>
  <si>
    <t>CMD SQD</t>
  </si>
  <si>
    <t>ISR SQD</t>
  </si>
  <si>
    <t>OPS/ADMIN SQD</t>
  </si>
  <si>
    <t>CP / COMMO SQD</t>
  </si>
  <si>
    <t>MORTAR SQD</t>
  </si>
  <si>
    <t>MG SQD</t>
  </si>
  <si>
    <t>MSL SQD</t>
  </si>
  <si>
    <t>SNIPER SQD</t>
  </si>
  <si>
    <t>3x CAV PLT</t>
  </si>
  <si>
    <t>FIRES PLT</t>
  </si>
  <si>
    <t>QM PLT</t>
  </si>
  <si>
    <t>MAINT PLT</t>
  </si>
  <si>
    <t>MED PLT</t>
  </si>
  <si>
    <t>SVCS PLT</t>
  </si>
  <si>
    <t>ENG PLT</t>
  </si>
  <si>
    <t>CO HQ PLT</t>
  </si>
  <si>
    <t>BN HQ PLT</t>
  </si>
  <si>
    <t>BN CP PLT</t>
  </si>
  <si>
    <t>HQ SPT PLT</t>
  </si>
  <si>
    <t>COMMO PLT</t>
  </si>
  <si>
    <t>ISR PLT</t>
  </si>
  <si>
    <t>MP PLT</t>
  </si>
  <si>
    <t>CA/PSY PLT</t>
  </si>
  <si>
    <t>TARGETING SQD</t>
  </si>
  <si>
    <t>FIRE SPT SQD</t>
  </si>
  <si>
    <t>2x HOW SQD</t>
  </si>
  <si>
    <t>SPT SQD</t>
  </si>
  <si>
    <t>2x SR MSL SQD</t>
  </si>
  <si>
    <t>3x SR AMD SQD</t>
  </si>
  <si>
    <t>L. WPNS PLT</t>
  </si>
  <si>
    <t>MPAMD SQD</t>
  </si>
  <si>
    <t>L INF BN HQ CO</t>
  </si>
  <si>
    <t>L INF CO HQ PLT</t>
  </si>
  <si>
    <t>3x PD AMD SQD</t>
  </si>
  <si>
    <t>L ARTY BTRY SPT PLT</t>
  </si>
  <si>
    <t>L ARTY BTRY HQ PLT</t>
  </si>
  <si>
    <t>L ARTY BTRY MSL PLT</t>
  </si>
  <si>
    <t>L SRAMD PLT</t>
  </si>
  <si>
    <t>L PDAMD PLT</t>
  </si>
  <si>
    <t>L HOW PLT</t>
  </si>
  <si>
    <t>L CAV TRP HQ PLT</t>
  </si>
  <si>
    <t>CP/ COMMO SQD</t>
  </si>
  <si>
    <t>L CAV PLT</t>
  </si>
  <si>
    <t>3x CAV SQD</t>
  </si>
  <si>
    <t>L FIRES PLT</t>
  </si>
  <si>
    <t>SRAMD SQD</t>
  </si>
  <si>
    <t>L CAV TRP SPT PLT</t>
  </si>
  <si>
    <t>L INF BN SPT CO</t>
  </si>
  <si>
    <t>L INF CO</t>
  </si>
  <si>
    <t>L ARTY BTRY</t>
  </si>
  <si>
    <t>L CAV TRP</t>
  </si>
  <si>
    <t>L INF CO SPT PLT</t>
  </si>
  <si>
    <t>L SPT CO HQ PLT</t>
  </si>
  <si>
    <t>CP/COMMO SQD</t>
  </si>
  <si>
    <t>L QM PLT</t>
  </si>
  <si>
    <t>CL I/VI SPLY SQD</t>
  </si>
  <si>
    <t>CL V SPLY SQD</t>
  </si>
  <si>
    <t>CL III SPLY SQD</t>
  </si>
  <si>
    <t>CL II/IV/VII/VIII/IX/X SQD</t>
  </si>
  <si>
    <t>CL W SQD</t>
  </si>
  <si>
    <t>L MAINT PLT</t>
  </si>
  <si>
    <t>RECVY SQD</t>
  </si>
  <si>
    <t>REPAIR SQD</t>
  </si>
  <si>
    <t>L MED PLT</t>
  </si>
  <si>
    <t>TMNT SQD</t>
  </si>
  <si>
    <t>EVAC SQD</t>
  </si>
  <si>
    <t>L SVCS PLT</t>
  </si>
  <si>
    <t>BASE OPS SQD</t>
  </si>
  <si>
    <t>FOOD SVC SQD</t>
  </si>
  <si>
    <t>HYGIENE SQD</t>
  </si>
  <si>
    <t>INFRASTRUCT SQD</t>
  </si>
  <si>
    <t>MERCHANT SQD</t>
  </si>
  <si>
    <t>MWR SQD</t>
  </si>
  <si>
    <t>L ENG PLT</t>
  </si>
  <si>
    <t>CBT ENG SQD</t>
  </si>
  <si>
    <t>CBRNE SQD</t>
  </si>
  <si>
    <t>RTE CLEAR SQD</t>
  </si>
  <si>
    <t>L INF BN HQ CO HQ PLT</t>
  </si>
  <si>
    <t>L INF BN BN HQ PLT</t>
  </si>
  <si>
    <t>ADMIN SQD</t>
  </si>
  <si>
    <t>INTEL SQD</t>
  </si>
  <si>
    <t>OPS SQD</t>
  </si>
  <si>
    <t>LOG SQD</t>
  </si>
  <si>
    <t>L INF BN BN  CP PLT</t>
  </si>
  <si>
    <t>CP OPS SQD</t>
  </si>
  <si>
    <t>BTL STF SQD</t>
  </si>
  <si>
    <t>*</t>
  </si>
  <si>
    <t>**</t>
  </si>
  <si>
    <t>***</t>
  </si>
  <si>
    <t>I</t>
  </si>
  <si>
    <t>II</t>
  </si>
  <si>
    <t>X</t>
  </si>
  <si>
    <t>XX</t>
  </si>
  <si>
    <t>XXX</t>
  </si>
  <si>
    <t>XXXX</t>
  </si>
  <si>
    <t>PVT</t>
  </si>
  <si>
    <t xml:space="preserve">Private </t>
  </si>
  <si>
    <t>Corporal</t>
  </si>
  <si>
    <t>CPL</t>
  </si>
  <si>
    <t>Sergeant</t>
  </si>
  <si>
    <t>SGT</t>
  </si>
  <si>
    <t>Sergeant First Class</t>
  </si>
  <si>
    <t>SFC</t>
  </si>
  <si>
    <t>Master Sergeant</t>
  </si>
  <si>
    <t>MSG</t>
  </si>
  <si>
    <t>Sergeant Major</t>
  </si>
  <si>
    <t>SGM</t>
  </si>
  <si>
    <t>Junior Warrant Officer</t>
  </si>
  <si>
    <t>JWO</t>
  </si>
  <si>
    <t>Warrant Officer</t>
  </si>
  <si>
    <t>WO</t>
  </si>
  <si>
    <t>Chief Warrant Officer</t>
  </si>
  <si>
    <t>CWO</t>
  </si>
  <si>
    <t>Senior Chief Warrant Officer</t>
  </si>
  <si>
    <t>SWO</t>
  </si>
  <si>
    <t>Master Chief Warrant Officer</t>
  </si>
  <si>
    <t>MCW</t>
  </si>
  <si>
    <t>2nd Lieutenant</t>
  </si>
  <si>
    <t>2LT</t>
  </si>
  <si>
    <t>1st Lieutenant</t>
  </si>
  <si>
    <t>1LT</t>
  </si>
  <si>
    <t>Captain</t>
  </si>
  <si>
    <t>CPT</t>
  </si>
  <si>
    <t>Major</t>
  </si>
  <si>
    <t>MAJ</t>
  </si>
  <si>
    <t>Lieutenant Colonel</t>
  </si>
  <si>
    <t>LTC</t>
  </si>
  <si>
    <t>Colonel</t>
  </si>
  <si>
    <t>COL</t>
  </si>
  <si>
    <t>Brigadier General</t>
  </si>
  <si>
    <t>BG</t>
  </si>
  <si>
    <t>Major General</t>
  </si>
  <si>
    <t>MG</t>
  </si>
  <si>
    <t>Lieutenant General</t>
  </si>
  <si>
    <t>LTG</t>
  </si>
  <si>
    <t>General</t>
  </si>
  <si>
    <t>GEN</t>
  </si>
  <si>
    <t>FMSH</t>
  </si>
  <si>
    <t>Field Marshall</t>
  </si>
  <si>
    <t>Vice Marshall</t>
  </si>
  <si>
    <t>VMSH</t>
  </si>
  <si>
    <t>Marshall</t>
  </si>
  <si>
    <t>MSH</t>
  </si>
  <si>
    <t>Grand Marshall</t>
  </si>
  <si>
    <t>GMSH</t>
  </si>
  <si>
    <t>Supreme Grand Marshall</t>
  </si>
  <si>
    <t>SGMSH</t>
  </si>
  <si>
    <t>OR1</t>
  </si>
  <si>
    <t>OR2</t>
  </si>
  <si>
    <t>OR3</t>
  </si>
  <si>
    <t>Staff Sergeant</t>
  </si>
  <si>
    <t>SSG</t>
  </si>
  <si>
    <t>OR4</t>
  </si>
  <si>
    <t>OR5</t>
  </si>
  <si>
    <t>OR6</t>
  </si>
  <si>
    <t>OR7</t>
  </si>
  <si>
    <t>OW1</t>
  </si>
  <si>
    <t>OW2</t>
  </si>
  <si>
    <t>OW3</t>
  </si>
  <si>
    <t>OW4</t>
  </si>
  <si>
    <t>OW5</t>
  </si>
  <si>
    <t>OF1</t>
  </si>
  <si>
    <t>OF2</t>
  </si>
  <si>
    <t>OF3</t>
  </si>
  <si>
    <t>OF4</t>
  </si>
  <si>
    <t>OF5</t>
  </si>
  <si>
    <t>OF6</t>
  </si>
  <si>
    <t>OG1</t>
  </si>
  <si>
    <t>OG2</t>
  </si>
  <si>
    <t>OG3</t>
  </si>
  <si>
    <t>OG4</t>
  </si>
  <si>
    <t>OG5</t>
  </si>
  <si>
    <t>OG6</t>
  </si>
  <si>
    <t>OG7</t>
  </si>
  <si>
    <t>OG8</t>
  </si>
  <si>
    <t>OG9</t>
  </si>
  <si>
    <t>&gt;</t>
  </si>
  <si>
    <t>&gt;&gt;</t>
  </si>
  <si>
    <t>&gt;&gt;&gt;</t>
  </si>
  <si>
    <t>(&gt;&gt;&gt;</t>
  </si>
  <si>
    <t>((&gt;&gt;&gt;</t>
  </si>
  <si>
    <t>(((&gt;&gt;&gt;</t>
  </si>
  <si>
    <t>((((&gt;&gt;&gt;</t>
  </si>
  <si>
    <t>****</t>
  </si>
  <si>
    <t>*****</t>
  </si>
  <si>
    <t>|</t>
  </si>
  <si>
    <t>||</t>
  </si>
  <si>
    <t>|||</t>
  </si>
  <si>
    <t>||||</t>
  </si>
  <si>
    <t>|||||</t>
  </si>
  <si>
    <t>||||||</t>
  </si>
  <si>
    <t>[o]</t>
  </si>
  <si>
    <t>[oo]</t>
  </si>
  <si>
    <t>[ooo]</t>
  </si>
  <si>
    <t>[oooo]</t>
  </si>
  <si>
    <t>[ooooo]</t>
  </si>
  <si>
    <t>[oooooo]</t>
  </si>
  <si>
    <t>[ooooooo]</t>
  </si>
  <si>
    <t>[oooooooo]</t>
  </si>
  <si>
    <t>[ooooooooo]</t>
  </si>
  <si>
    <t>L COMMO PLT</t>
  </si>
  <si>
    <t>NETWORKS SQD</t>
  </si>
  <si>
    <t>SYSTEMS SQD</t>
  </si>
  <si>
    <t>L ISR PLT</t>
  </si>
  <si>
    <t>SCOUT SQD</t>
  </si>
  <si>
    <t>UV SQD</t>
  </si>
  <si>
    <t>HUMINT SQD</t>
  </si>
  <si>
    <t>ELINT SQD</t>
  </si>
  <si>
    <t>L MP PLT</t>
  </si>
  <si>
    <t>ESCORT SQD</t>
  </si>
  <si>
    <t>SECTY SQD</t>
  </si>
  <si>
    <t>L&amp;O SQD</t>
  </si>
  <si>
    <t>DET OPS SQD</t>
  </si>
  <si>
    <t>PLT HQ SQD A</t>
  </si>
  <si>
    <t>PLT LDR</t>
  </si>
  <si>
    <t>PLT SGT</t>
  </si>
  <si>
    <t>RTO</t>
  </si>
  <si>
    <t>MEDIC</t>
  </si>
  <si>
    <t>2x VD</t>
  </si>
  <si>
    <t>2x VG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</si>
</sst>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[$$-409]#,##0.00;[Red]&quot;-&quot;[$$-409]#,##0.00"/>
  </numFmts>
  <fonts count="7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5" fontId="2" fillId="0" borderId="0"/>
  </cellStyleXfs>
  <cellXfs count="10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 applyAlignment="1">
      <alignment horizontal="left" indent="1"/>
    </xf>
    <xf numFmtId="49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0" fontId="4" fillId="2" borderId="0" xfId="0" applyFont="1" applyFill="1"/>
    <xf numFmtId="0" fontId="0" fillId="2" borderId="0" xfId="0" applyFill="1"/>
    <xf numFmtId="0" fontId="4" fillId="2" borderId="1" xfId="0" applyFont="1" applyFill="1" applyBorder="1"/>
    <xf numFmtId="0" fontId="4" fillId="2" borderId="2" xfId="0" applyFont="1" applyFill="1" applyBorder="1"/>
    <xf numFmtId="0" fontId="0" fillId="6" borderId="3" xfId="0" applyFill="1" applyBorder="1"/>
    <xf numFmtId="0" fontId="0" fillId="6" borderId="4" xfId="0" applyFill="1" applyBorder="1"/>
    <xf numFmtId="0" fontId="0" fillId="2" borderId="3" xfId="0" applyFill="1" applyBorder="1"/>
    <xf numFmtId="0" fontId="0" fillId="2" borderId="4" xfId="0" applyFill="1" applyBorder="1"/>
    <xf numFmtId="0" fontId="0" fillId="5" borderId="5" xfId="0" applyFill="1" applyBorder="1"/>
    <xf numFmtId="0" fontId="0" fillId="5" borderId="6" xfId="0" applyFill="1" applyBorder="1"/>
    <xf numFmtId="0" fontId="4" fillId="6" borderId="1" xfId="0" applyFont="1" applyFill="1" applyBorder="1"/>
    <xf numFmtId="0" fontId="4" fillId="6" borderId="2" xfId="0" applyFont="1" applyFill="1" applyBorder="1"/>
    <xf numFmtId="0" fontId="0" fillId="6" borderId="5" xfId="0" applyFill="1" applyBorder="1"/>
    <xf numFmtId="0" fontId="0" fillId="6" borderId="6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4" fillId="2" borderId="7" xfId="0" applyFont="1" applyFill="1" applyBorder="1"/>
    <xf numFmtId="0" fontId="0" fillId="6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5" borderId="8" xfId="0" applyFill="1" applyBorder="1"/>
    <xf numFmtId="0" fontId="4" fillId="5" borderId="1" xfId="0" applyFont="1" applyFill="1" applyBorder="1"/>
    <xf numFmtId="0" fontId="4" fillId="5" borderId="2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4" fillId="3" borderId="1" xfId="0" applyFont="1" applyFill="1" applyBorder="1"/>
    <xf numFmtId="0" fontId="4" fillId="3" borderId="2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4" fillId="4" borderId="1" xfId="0" applyFont="1" applyFill="1" applyBorder="1"/>
    <xf numFmtId="0" fontId="0" fillId="4" borderId="5" xfId="0" applyFill="1" applyBorder="1"/>
    <xf numFmtId="0" fontId="4" fillId="4" borderId="7" xfId="0" applyFont="1" applyFill="1" applyBorder="1"/>
    <xf numFmtId="0" fontId="0" fillId="4" borderId="8" xfId="0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6" xfId="0" applyFont="1" applyFill="1" applyBorder="1"/>
    <xf numFmtId="0" fontId="0" fillId="2" borderId="0" xfId="0" applyFont="1" applyFill="1" applyBorder="1"/>
    <xf numFmtId="0" fontId="0" fillId="3" borderId="3" xfId="0" applyFont="1" applyFill="1" applyBorder="1"/>
    <xf numFmtId="0" fontId="0" fillId="3" borderId="5" xfId="0" applyFont="1" applyFill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4" fillId="7" borderId="1" xfId="0" applyFont="1" applyFill="1" applyBorder="1"/>
    <xf numFmtId="0" fontId="4" fillId="7" borderId="2" xfId="0" applyFont="1" applyFill="1" applyBorder="1"/>
    <xf numFmtId="0" fontId="0" fillId="5" borderId="3" xfId="0" applyFont="1" applyFill="1" applyBorder="1"/>
    <xf numFmtId="0" fontId="0" fillId="5" borderId="4" xfId="0" applyFont="1" applyFill="1" applyBorder="1"/>
    <xf numFmtId="0" fontId="4" fillId="0" borderId="9" xfId="0" applyFont="1" applyBorder="1"/>
    <xf numFmtId="0" fontId="0" fillId="0" borderId="15" xfId="0" applyBorder="1"/>
    <xf numFmtId="0" fontId="0" fillId="0" borderId="0" xfId="0" applyBorder="1"/>
    <xf numFmtId="0" fontId="4" fillId="0" borderId="1" xfId="0" applyFont="1" applyBorder="1"/>
    <xf numFmtId="0" fontId="4" fillId="0" borderId="2" xfId="0" applyFont="1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0" fillId="0" borderId="10" xfId="0" applyBorder="1" applyAlignment="1">
      <alignment horizontal="center"/>
    </xf>
    <xf numFmtId="0" fontId="4" fillId="0" borderId="11" xfId="0" applyFont="1" applyBorder="1"/>
    <xf numFmtId="0" fontId="0" fillId="0" borderId="12" xfId="0" applyBorder="1" applyAlignment="1">
      <alignment horizontal="center"/>
    </xf>
    <xf numFmtId="0" fontId="4" fillId="0" borderId="13" xfId="0" applyFont="1" applyBorder="1"/>
    <xf numFmtId="0" fontId="0" fillId="0" borderId="17" xfId="0" applyBorder="1"/>
    <xf numFmtId="0" fontId="0" fillId="0" borderId="14" xfId="0" applyBorder="1" applyAlignment="1">
      <alignment horizontal="center"/>
    </xf>
    <xf numFmtId="0" fontId="0" fillId="0" borderId="0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8" borderId="0" xfId="0" applyFont="1" applyFill="1" applyBorder="1"/>
    <xf numFmtId="0" fontId="0" fillId="8" borderId="0" xfId="0" applyFill="1" applyBorder="1"/>
    <xf numFmtId="0" fontId="0" fillId="0" borderId="7" xfId="0" applyBorder="1"/>
    <xf numFmtId="0" fontId="0" fillId="0" borderId="7" xfId="0" applyFont="1" applyBorder="1"/>
    <xf numFmtId="0" fontId="0" fillId="0" borderId="2" xfId="0" applyFont="1" applyBorder="1"/>
    <xf numFmtId="0" fontId="0" fillId="0" borderId="0" xfId="0" applyFont="1" applyBorder="1"/>
    <xf numFmtId="0" fontId="0" fillId="8" borderId="3" xfId="0" applyFill="1" applyBorder="1"/>
    <xf numFmtId="0" fontId="0" fillId="8" borderId="4" xfId="0" applyFill="1" applyBorder="1"/>
    <xf numFmtId="0" fontId="0" fillId="8" borderId="4" xfId="0" applyFont="1" applyFill="1" applyBorder="1"/>
    <xf numFmtId="0" fontId="0" fillId="0" borderId="4" xfId="0" applyFont="1" applyFill="1" applyBorder="1"/>
    <xf numFmtId="0" fontId="0" fillId="8" borderId="3" xfId="0" applyFont="1" applyFill="1" applyBorder="1"/>
    <xf numFmtId="0" fontId="0" fillId="8" borderId="5" xfId="0" applyFill="1" applyBorder="1"/>
    <xf numFmtId="0" fontId="0" fillId="8" borderId="8" xfId="0" applyFill="1" applyBorder="1"/>
    <xf numFmtId="0" fontId="0" fillId="8" borderId="6" xfId="0" applyFont="1" applyFill="1" applyBorder="1"/>
    <xf numFmtId="0" fontId="0" fillId="2" borderId="8" xfId="0" applyFont="1" applyFill="1" applyBorder="1"/>
    <xf numFmtId="0" fontId="0" fillId="0" borderId="0" xfId="0" applyFill="1" applyBorder="1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118"/>
  <sheetViews>
    <sheetView topLeftCell="D87" workbookViewId="0">
      <selection activeCell="C7" sqref="C7"/>
    </sheetView>
  </sheetViews>
  <sheetFormatPr defaultRowHeight="12.75"/>
  <cols>
    <col min="1" max="1" width="2.125" style="12" customWidth="1"/>
    <col min="2" max="2" width="22.625" style="12" bestFit="1" customWidth="1"/>
    <col min="3" max="3" width="17.75" style="12" customWidth="1"/>
    <col min="4" max="4" width="22.125" style="12" bestFit="1" customWidth="1"/>
    <col min="5" max="5" width="2.125" style="12" customWidth="1"/>
    <col min="6" max="7" width="12.875" style="12" customWidth="1"/>
    <col min="8" max="8" width="2.125" style="12" customWidth="1"/>
    <col min="9" max="9" width="25.5" style="12" bestFit="1" customWidth="1"/>
    <col min="10" max="10" width="10.75" style="12" customWidth="1"/>
    <col min="11" max="11" width="88.625" style="12" bestFit="1" customWidth="1"/>
    <col min="12" max="12" width="23.875" style="12" customWidth="1"/>
    <col min="13" max="13" width="21.375" style="12" customWidth="1"/>
    <col min="14" max="14" width="21.5" style="12" customWidth="1"/>
    <col min="15" max="15" width="23.125" style="12" customWidth="1"/>
    <col min="16" max="16" width="22.625" style="12" customWidth="1"/>
    <col min="17" max="17" width="22.25" style="12" customWidth="1"/>
    <col min="18" max="16384" width="9" style="12"/>
  </cols>
  <sheetData>
    <row r="1" spans="2:11" ht="14.25">
      <c r="B1" s="12" t="s">
        <v>1393</v>
      </c>
      <c r="F1" s="12" t="s">
        <v>1394</v>
      </c>
      <c r="G1" s="12" t="s">
        <v>1395</v>
      </c>
    </row>
    <row r="2" spans="2:11" ht="14.25">
      <c r="B2" s="12" t="s">
        <v>1396</v>
      </c>
      <c r="F2" s="12" t="s">
        <v>1397</v>
      </c>
      <c r="G2" s="12" t="s">
        <v>1398</v>
      </c>
      <c r="I2" s="12" t="s">
        <v>1399</v>
      </c>
      <c r="K2" s="12" t="s">
        <v>1400</v>
      </c>
    </row>
    <row r="3" spans="2:11" ht="14.25">
      <c r="B3" s="12" t="s">
        <v>0</v>
      </c>
      <c r="C3" s="12" t="s">
        <v>1</v>
      </c>
      <c r="D3" s="12" t="s">
        <v>2</v>
      </c>
      <c r="F3" s="12" t="s">
        <v>1401</v>
      </c>
      <c r="G3" s="12" t="s">
        <v>1402</v>
      </c>
      <c r="I3" s="12" t="s">
        <v>1403</v>
      </c>
    </row>
    <row r="4" spans="2:11" ht="14.25">
      <c r="B4" s="12" t="s">
        <v>1404</v>
      </c>
      <c r="C4" s="12" t="s">
        <v>1405</v>
      </c>
      <c r="D4" s="12" t="s">
        <v>1406</v>
      </c>
      <c r="F4" s="12" t="s">
        <v>1407</v>
      </c>
      <c r="G4" s="12" t="s">
        <v>1408</v>
      </c>
      <c r="I4" s="12" t="s">
        <v>1409</v>
      </c>
      <c r="K4" s="12" t="s">
        <v>1410</v>
      </c>
    </row>
    <row r="5" spans="2:11" ht="14.25">
      <c r="B5" s="12" t="s">
        <v>1411</v>
      </c>
      <c r="C5" s="12" t="s">
        <v>1412</v>
      </c>
      <c r="D5" s="12" t="s">
        <v>1413</v>
      </c>
      <c r="F5" s="12" t="s">
        <v>1414</v>
      </c>
      <c r="G5" s="13" t="s">
        <v>1415</v>
      </c>
      <c r="H5" s="13"/>
      <c r="I5" s="12" t="s">
        <v>1416</v>
      </c>
      <c r="K5" s="12" t="s">
        <v>1417</v>
      </c>
    </row>
    <row r="6" spans="2:11" ht="14.25">
      <c r="B6" s="12" t="s">
        <v>1418</v>
      </c>
      <c r="C6" s="12" t="s">
        <v>1419</v>
      </c>
      <c r="D6" s="12" t="s">
        <v>1420</v>
      </c>
      <c r="F6" s="12" t="s">
        <v>1421</v>
      </c>
      <c r="I6" s="12" t="s">
        <v>1422</v>
      </c>
      <c r="K6" s="12" t="s">
        <v>1423</v>
      </c>
    </row>
    <row r="7" spans="2:11" ht="14.25">
      <c r="D7" s="12" t="s">
        <v>1424</v>
      </c>
      <c r="F7" s="13" t="s">
        <v>1425</v>
      </c>
      <c r="I7" s="12" t="s">
        <v>1426</v>
      </c>
      <c r="K7" s="12" t="s">
        <v>11</v>
      </c>
    </row>
    <row r="8" spans="2:11" ht="14.25">
      <c r="I8" s="12" t="s">
        <v>1427</v>
      </c>
    </row>
    <row r="9" spans="2:11" ht="14.25">
      <c r="B9" s="12" t="s">
        <v>1428</v>
      </c>
      <c r="I9" s="12" t="s">
        <v>1429</v>
      </c>
      <c r="K9" s="12" t="s">
        <v>12</v>
      </c>
    </row>
    <row r="10" spans="2:11" ht="14.25">
      <c r="B10" s="12" t="s">
        <v>1430</v>
      </c>
      <c r="I10" s="12" t="s">
        <v>1431</v>
      </c>
      <c r="K10" s="12" t="s">
        <v>13</v>
      </c>
    </row>
    <row r="11" spans="2:11" ht="14.25">
      <c r="B11" s="12" t="s">
        <v>14</v>
      </c>
      <c r="C11" s="12" t="s">
        <v>15</v>
      </c>
      <c r="D11" s="12" t="s">
        <v>16</v>
      </c>
      <c r="I11" s="12" t="s">
        <v>1432</v>
      </c>
      <c r="K11" s="12" t="s">
        <v>17</v>
      </c>
    </row>
    <row r="12" spans="2:11" ht="14.25">
      <c r="B12" s="12" t="s">
        <v>1433</v>
      </c>
      <c r="C12" s="12" t="s">
        <v>1434</v>
      </c>
      <c r="D12" s="12" t="s">
        <v>1435</v>
      </c>
      <c r="K12" s="12" t="s">
        <v>21</v>
      </c>
    </row>
    <row r="13" spans="2:11" ht="14.25">
      <c r="B13" s="14" t="s">
        <v>1436</v>
      </c>
      <c r="C13" s="14" t="s">
        <v>1437</v>
      </c>
      <c r="D13" s="14" t="s">
        <v>1438</v>
      </c>
    </row>
    <row r="14" spans="2:11" ht="14.25">
      <c r="B14" s="14" t="s">
        <v>1439</v>
      </c>
      <c r="C14" s="14" t="s">
        <v>1440</v>
      </c>
      <c r="D14" s="14" t="s">
        <v>1441</v>
      </c>
      <c r="K14" s="12" t="s">
        <v>28</v>
      </c>
    </row>
    <row r="15" spans="2:11" ht="14.25">
      <c r="B15" s="14" t="s">
        <v>1442</v>
      </c>
      <c r="C15" s="14" t="s">
        <v>1443</v>
      </c>
      <c r="D15" s="14" t="s">
        <v>1444</v>
      </c>
    </row>
    <row r="16" spans="2:11" ht="14.25">
      <c r="B16" s="14" t="s">
        <v>1445</v>
      </c>
      <c r="C16" s="14" t="s">
        <v>1446</v>
      </c>
      <c r="D16" s="14" t="s">
        <v>1447</v>
      </c>
      <c r="K16" s="12" t="s">
        <v>35</v>
      </c>
    </row>
    <row r="17" spans="2:11" ht="14.25">
      <c r="B17" s="14" t="s">
        <v>1448</v>
      </c>
      <c r="C17" s="12" t="s">
        <v>1449</v>
      </c>
      <c r="D17" s="14" t="s">
        <v>1450</v>
      </c>
      <c r="K17" s="12" t="s">
        <v>39</v>
      </c>
    </row>
    <row r="18" spans="2:11" ht="14.25">
      <c r="B18" s="12" t="s">
        <v>1451</v>
      </c>
      <c r="C18" s="14" t="s">
        <v>1452</v>
      </c>
      <c r="D18" s="12" t="s">
        <v>1453</v>
      </c>
      <c r="K18" s="12" t="s">
        <v>43</v>
      </c>
    </row>
    <row r="19" spans="2:11" ht="14.25">
      <c r="B19" s="14" t="s">
        <v>1454</v>
      </c>
      <c r="C19" s="14" t="s">
        <v>1455</v>
      </c>
      <c r="D19" s="14" t="s">
        <v>1456</v>
      </c>
      <c r="K19" s="12" t="s">
        <v>47</v>
      </c>
    </row>
    <row r="20" spans="2:11" ht="14.25">
      <c r="B20" s="14" t="s">
        <v>1457</v>
      </c>
      <c r="C20" s="14" t="s">
        <v>1458</v>
      </c>
      <c r="D20" s="14" t="s">
        <v>1459</v>
      </c>
      <c r="K20" s="12" t="s">
        <v>51</v>
      </c>
    </row>
    <row r="21" spans="2:11" ht="14.25">
      <c r="B21" s="14" t="s">
        <v>1460</v>
      </c>
      <c r="C21" s="14" t="s">
        <v>1461</v>
      </c>
      <c r="D21" s="14" t="s">
        <v>1462</v>
      </c>
      <c r="K21" s="12" t="s">
        <v>55</v>
      </c>
    </row>
    <row r="22" spans="2:11" ht="14.25">
      <c r="B22" s="12" t="s">
        <v>1463</v>
      </c>
      <c r="C22" s="14" t="s">
        <v>1464</v>
      </c>
      <c r="D22" s="14" t="s">
        <v>1465</v>
      </c>
      <c r="K22" s="12" t="s">
        <v>59</v>
      </c>
    </row>
    <row r="23" spans="2:11" ht="14.25">
      <c r="B23" s="14" t="s">
        <v>60</v>
      </c>
      <c r="C23" s="14" t="s">
        <v>1466</v>
      </c>
      <c r="K23" s="12" t="s">
        <v>62</v>
      </c>
    </row>
    <row r="24" spans="2:11" ht="14.25">
      <c r="B24" s="14" t="s">
        <v>63</v>
      </c>
      <c r="C24" s="12" t="s">
        <v>1467</v>
      </c>
      <c r="K24" s="12" t="s">
        <v>65</v>
      </c>
    </row>
    <row r="25" spans="2:11" ht="14.25">
      <c r="B25" s="14" t="s">
        <v>1468</v>
      </c>
      <c r="C25" s="14" t="s">
        <v>1469</v>
      </c>
      <c r="K25" s="12" t="s">
        <v>68</v>
      </c>
    </row>
    <row r="26" spans="2:11" ht="14.25">
      <c r="B26" s="14" t="s">
        <v>1470</v>
      </c>
      <c r="C26" s="14" t="s">
        <v>1471</v>
      </c>
      <c r="K26" s="12" t="s">
        <v>71</v>
      </c>
    </row>
    <row r="27" spans="2:11" ht="14.25">
      <c r="B27" s="14" t="s">
        <v>1472</v>
      </c>
      <c r="C27" s="14" t="s">
        <v>1473</v>
      </c>
      <c r="K27" s="12" t="s">
        <v>74</v>
      </c>
    </row>
    <row r="28" spans="2:11" ht="14.25">
      <c r="C28" s="14" t="s">
        <v>1474</v>
      </c>
      <c r="K28" s="12" t="s">
        <v>76</v>
      </c>
    </row>
    <row r="29" spans="2:11">
      <c r="K29" s="12" t="s">
        <v>77</v>
      </c>
    </row>
    <row r="30" spans="2:11">
      <c r="K30" s="12" t="s">
        <v>78</v>
      </c>
    </row>
    <row r="31" spans="2:11">
      <c r="K31" s="12" t="s">
        <v>79</v>
      </c>
    </row>
    <row r="32" spans="2:11">
      <c r="K32" s="12" t="s">
        <v>80</v>
      </c>
    </row>
    <row r="33" spans="11:11">
      <c r="K33" s="12" t="s">
        <v>81</v>
      </c>
    </row>
    <row r="34" spans="11:11">
      <c r="K34" s="12" t="s">
        <v>82</v>
      </c>
    </row>
    <row r="35" spans="11:11">
      <c r="K35" s="12" t="s">
        <v>83</v>
      </c>
    </row>
    <row r="36" spans="11:11">
      <c r="K36" s="12" t="s">
        <v>84</v>
      </c>
    </row>
    <row r="37" spans="11:11">
      <c r="K37" s="12" t="s">
        <v>85</v>
      </c>
    </row>
    <row r="38" spans="11:11">
      <c r="K38" s="12" t="s">
        <v>86</v>
      </c>
    </row>
    <row r="39" spans="11:11">
      <c r="K39" s="12" t="s">
        <v>87</v>
      </c>
    </row>
    <row r="40" spans="11:11">
      <c r="K40" s="12" t="s">
        <v>88</v>
      </c>
    </row>
    <row r="41" spans="11:11">
      <c r="K41" s="12" t="s">
        <v>89</v>
      </c>
    </row>
    <row r="42" spans="11:11">
      <c r="K42" s="12" t="s">
        <v>90</v>
      </c>
    </row>
    <row r="43" spans="11:11">
      <c r="K43" s="12" t="s">
        <v>91</v>
      </c>
    </row>
    <row r="44" spans="11:11">
      <c r="K44" s="12" t="s">
        <v>92</v>
      </c>
    </row>
    <row r="45" spans="11:11">
      <c r="K45" s="12" t="s">
        <v>93</v>
      </c>
    </row>
    <row r="46" spans="11:11">
      <c r="K46" s="12" t="s">
        <v>94</v>
      </c>
    </row>
    <row r="47" spans="11:11">
      <c r="K47" s="12" t="s">
        <v>95</v>
      </c>
    </row>
    <row r="48" spans="11:11">
      <c r="K48" s="12" t="s">
        <v>96</v>
      </c>
    </row>
    <row r="49" spans="11:11">
      <c r="K49" s="12" t="s">
        <v>97</v>
      </c>
    </row>
    <row r="50" spans="11:11">
      <c r="K50" s="12" t="s">
        <v>98</v>
      </c>
    </row>
    <row r="51" spans="11:11">
      <c r="K51" s="12" t="s">
        <v>99</v>
      </c>
    </row>
    <row r="52" spans="11:11">
      <c r="K52" s="12" t="s">
        <v>100</v>
      </c>
    </row>
    <row r="53" spans="11:11">
      <c r="K53" s="12" t="s">
        <v>101</v>
      </c>
    </row>
    <row r="54" spans="11:11">
      <c r="K54" s="12" t="s">
        <v>102</v>
      </c>
    </row>
    <row r="55" spans="11:11">
      <c r="K55" s="12" t="s">
        <v>103</v>
      </c>
    </row>
    <row r="56" spans="11:11">
      <c r="K56" s="12" t="s">
        <v>104</v>
      </c>
    </row>
    <row r="57" spans="11:11">
      <c r="K57" s="12" t="s">
        <v>105</v>
      </c>
    </row>
    <row r="58" spans="11:11">
      <c r="K58" s="12" t="s">
        <v>106</v>
      </c>
    </row>
    <row r="59" spans="11:11">
      <c r="K59" s="12" t="s">
        <v>107</v>
      </c>
    </row>
    <row r="60" spans="11:11">
      <c r="K60" s="12" t="s">
        <v>108</v>
      </c>
    </row>
    <row r="61" spans="11:11">
      <c r="K61" s="12" t="s">
        <v>109</v>
      </c>
    </row>
    <row r="62" spans="11:11">
      <c r="K62" s="12" t="s">
        <v>110</v>
      </c>
    </row>
    <row r="63" spans="11:11">
      <c r="K63" s="12" t="s">
        <v>111</v>
      </c>
    </row>
    <row r="64" spans="11:11">
      <c r="K64" s="12" t="s">
        <v>112</v>
      </c>
    </row>
    <row r="65" spans="11:11">
      <c r="K65" s="12" t="s">
        <v>113</v>
      </c>
    </row>
    <row r="66" spans="11:11">
      <c r="K66" s="12" t="s">
        <v>114</v>
      </c>
    </row>
    <row r="67" spans="11:11">
      <c r="K67" s="12" t="s">
        <v>115</v>
      </c>
    </row>
    <row r="68" spans="11:11">
      <c r="K68" s="12" t="s">
        <v>116</v>
      </c>
    </row>
    <row r="69" spans="11:11">
      <c r="K69" s="12" t="s">
        <v>117</v>
      </c>
    </row>
    <row r="70" spans="11:11">
      <c r="K70" s="12" t="s">
        <v>118</v>
      </c>
    </row>
    <row r="71" spans="11:11">
      <c r="K71" s="12" t="s">
        <v>119</v>
      </c>
    </row>
    <row r="72" spans="11:11">
      <c r="K72" s="12" t="s">
        <v>120</v>
      </c>
    </row>
    <row r="73" spans="11:11">
      <c r="K73" s="12" t="s">
        <v>121</v>
      </c>
    </row>
    <row r="74" spans="11:11">
      <c r="K74" s="12" t="s">
        <v>122</v>
      </c>
    </row>
    <row r="75" spans="11:11">
      <c r="K75" s="12" t="s">
        <v>123</v>
      </c>
    </row>
    <row r="76" spans="11:11">
      <c r="K76" s="12" t="s">
        <v>124</v>
      </c>
    </row>
    <row r="78" spans="11:11">
      <c r="K78" s="12" t="s">
        <v>125</v>
      </c>
    </row>
    <row r="80" spans="11:11">
      <c r="K80" s="12" t="s">
        <v>126</v>
      </c>
    </row>
    <row r="82" spans="11:11">
      <c r="K82" s="12" t="s">
        <v>127</v>
      </c>
    </row>
    <row r="84" spans="11:11">
      <c r="K84" s="12" t="s">
        <v>128</v>
      </c>
    </row>
    <row r="85" spans="11:11">
      <c r="K85" s="12" t="s">
        <v>129</v>
      </c>
    </row>
    <row r="86" spans="11:11">
      <c r="K86" s="12" t="s">
        <v>130</v>
      </c>
    </row>
    <row r="87" spans="11:11">
      <c r="K87" s="12" t="s">
        <v>131</v>
      </c>
    </row>
    <row r="88" spans="11:11">
      <c r="K88" s="12" t="s">
        <v>132</v>
      </c>
    </row>
    <row r="90" spans="11:11">
      <c r="K90" s="12" t="s">
        <v>133</v>
      </c>
    </row>
    <row r="92" spans="11:11">
      <c r="K92" s="12" t="s">
        <v>134</v>
      </c>
    </row>
    <row r="93" spans="11:11">
      <c r="K93" s="12" t="s">
        <v>135</v>
      </c>
    </row>
    <row r="94" spans="11:11">
      <c r="K94" s="12" t="s">
        <v>136</v>
      </c>
    </row>
    <row r="95" spans="11:11">
      <c r="K95" s="12" t="s">
        <v>137</v>
      </c>
    </row>
    <row r="96" spans="11:11">
      <c r="K96" s="12" t="s">
        <v>138</v>
      </c>
    </row>
    <row r="98" spans="11:11">
      <c r="K98" s="12" t="s">
        <v>139</v>
      </c>
    </row>
    <row r="100" spans="11:11">
      <c r="K100" s="12" t="s">
        <v>140</v>
      </c>
    </row>
    <row r="102" spans="11:11">
      <c r="K102" s="12" t="s">
        <v>141</v>
      </c>
    </row>
    <row r="103" spans="11:11">
      <c r="K103" s="12" t="s">
        <v>142</v>
      </c>
    </row>
    <row r="104" spans="11:11">
      <c r="K104" s="12" t="s">
        <v>143</v>
      </c>
    </row>
    <row r="105" spans="11:11">
      <c r="K105" s="12" t="s">
        <v>144</v>
      </c>
    </row>
    <row r="106" spans="11:11">
      <c r="K106" s="12" t="s">
        <v>145</v>
      </c>
    </row>
    <row r="108" spans="11:11">
      <c r="K108" s="12" t="s">
        <v>146</v>
      </c>
    </row>
    <row r="110" spans="11:11">
      <c r="K110" s="12" t="s">
        <v>147</v>
      </c>
    </row>
    <row r="112" spans="11:11">
      <c r="K112" s="12" t="s">
        <v>148</v>
      </c>
    </row>
    <row r="114" spans="11:11">
      <c r="K114" s="12" t="s">
        <v>149</v>
      </c>
    </row>
    <row r="116" spans="11:11">
      <c r="K116" s="12" t="s">
        <v>150</v>
      </c>
    </row>
    <row r="118" spans="11:11">
      <c r="K118" s="12" t="s">
        <v>151</v>
      </c>
    </row>
  </sheetData>
  <pageMargins left="0" right="0" top="0.39410000000000001" bottom="0.39410000000000001" header="0" footer="0"/>
  <pageSetup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B2:AH68"/>
  <sheetViews>
    <sheetView workbookViewId="0"/>
  </sheetViews>
  <sheetFormatPr defaultRowHeight="14.25"/>
  <cols>
    <col min="1" max="1" width="2" customWidth="1"/>
    <col min="2" max="3" width="20.875" customWidth="1"/>
    <col min="4" max="8" width="19.25" customWidth="1"/>
    <col min="9" max="9" width="20.25" customWidth="1"/>
    <col min="10" max="10" width="22.5" customWidth="1"/>
    <col min="11" max="11" width="24.5" customWidth="1"/>
    <col min="12" max="12" width="22.625" customWidth="1"/>
    <col min="13" max="13" width="23.75" customWidth="1"/>
    <col min="14" max="14" width="23.875" customWidth="1"/>
    <col min="15" max="15" width="21.375" customWidth="1"/>
    <col min="16" max="16" width="21.5" customWidth="1"/>
    <col min="17" max="17" width="23.125" customWidth="1"/>
    <col min="18" max="18" width="22.625" customWidth="1"/>
    <col min="19" max="19" width="22.25" customWidth="1"/>
    <col min="20" max="21" width="14.75" customWidth="1"/>
    <col min="22" max="22" width="14.625" customWidth="1"/>
    <col min="23" max="23" width="22.75" customWidth="1"/>
    <col min="24" max="24" width="21.75" customWidth="1"/>
    <col min="25" max="25" width="24" customWidth="1"/>
    <col min="26" max="27" width="20.875" customWidth="1"/>
    <col min="28" max="28" width="14" customWidth="1"/>
    <col min="29" max="29" width="15.25" customWidth="1"/>
    <col min="30" max="30" width="30.125" customWidth="1"/>
    <col min="31" max="34" width="10.75" customWidth="1"/>
  </cols>
  <sheetData>
    <row r="2" spans="2:34" ht="16.5"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160</v>
      </c>
      <c r="K2" t="s">
        <v>161</v>
      </c>
      <c r="L2" t="s">
        <v>18</v>
      </c>
      <c r="M2" t="s">
        <v>40</v>
      </c>
      <c r="N2" t="s">
        <v>56</v>
      </c>
      <c r="O2" t="s">
        <v>19</v>
      </c>
      <c r="P2" t="s">
        <v>37</v>
      </c>
      <c r="Q2" t="s">
        <v>64</v>
      </c>
      <c r="R2" t="s">
        <v>20</v>
      </c>
      <c r="S2" t="s">
        <v>42</v>
      </c>
      <c r="U2" t="s">
        <v>162</v>
      </c>
      <c r="V2" t="s">
        <v>163</v>
      </c>
      <c r="W2" t="s">
        <v>164</v>
      </c>
      <c r="X2" t="s">
        <v>165</v>
      </c>
      <c r="Y2" t="s">
        <v>166</v>
      </c>
      <c r="Z2" t="s">
        <v>167</v>
      </c>
      <c r="AA2" t="s">
        <v>168</v>
      </c>
      <c r="AB2" t="s">
        <v>169</v>
      </c>
      <c r="AC2" t="s">
        <v>170</v>
      </c>
      <c r="AD2" t="s">
        <v>171</v>
      </c>
      <c r="AE2" t="s">
        <v>172</v>
      </c>
      <c r="AF2" t="s">
        <v>173</v>
      </c>
      <c r="AG2" t="s">
        <v>174</v>
      </c>
      <c r="AH2" t="s">
        <v>175</v>
      </c>
    </row>
    <row r="3" spans="2:34" ht="16.5">
      <c r="B3" t="s">
        <v>176</v>
      </c>
      <c r="C3" t="s">
        <v>177</v>
      </c>
      <c r="D3" t="s">
        <v>178</v>
      </c>
      <c r="E3" t="s">
        <v>179</v>
      </c>
      <c r="F3" t="s">
        <v>180</v>
      </c>
      <c r="G3" t="s">
        <v>181</v>
      </c>
      <c r="H3" t="s">
        <v>182</v>
      </c>
      <c r="I3" t="s">
        <v>183</v>
      </c>
      <c r="J3" t="s">
        <v>184</v>
      </c>
      <c r="K3" t="s">
        <v>185</v>
      </c>
      <c r="L3" t="s">
        <v>186</v>
      </c>
      <c r="M3" t="s">
        <v>187</v>
      </c>
      <c r="N3" t="s">
        <v>188</v>
      </c>
      <c r="O3" t="s">
        <v>189</v>
      </c>
      <c r="P3" t="s">
        <v>190</v>
      </c>
      <c r="Q3" t="s">
        <v>191</v>
      </c>
      <c r="R3" t="s">
        <v>192</v>
      </c>
      <c r="S3" t="s">
        <v>193</v>
      </c>
      <c r="U3" t="s">
        <v>194</v>
      </c>
      <c r="V3" t="s">
        <v>195</v>
      </c>
      <c r="W3" t="s">
        <v>196</v>
      </c>
      <c r="X3" t="s">
        <v>197</v>
      </c>
      <c r="Y3" t="s">
        <v>198</v>
      </c>
      <c r="Z3" t="s">
        <v>199</v>
      </c>
      <c r="AA3" t="s">
        <v>200</v>
      </c>
      <c r="AB3" s="1" t="s">
        <v>201</v>
      </c>
      <c r="AC3" t="s">
        <v>202</v>
      </c>
      <c r="AD3" t="s">
        <v>203</v>
      </c>
    </row>
    <row r="4" spans="2:34" ht="16.5">
      <c r="B4" t="s">
        <v>204</v>
      </c>
      <c r="C4" t="s">
        <v>205</v>
      </c>
      <c r="D4" t="s">
        <v>206</v>
      </c>
      <c r="E4" t="s">
        <v>207</v>
      </c>
      <c r="F4" t="s">
        <v>208</v>
      </c>
      <c r="G4" t="s">
        <v>209</v>
      </c>
      <c r="H4" t="s">
        <v>210</v>
      </c>
      <c r="I4" t="s">
        <v>211</v>
      </c>
      <c r="J4" t="s">
        <v>212</v>
      </c>
      <c r="K4" t="s">
        <v>213</v>
      </c>
      <c r="L4" t="s">
        <v>22</v>
      </c>
      <c r="M4" t="s">
        <v>44</v>
      </c>
      <c r="N4" t="s">
        <v>60</v>
      </c>
      <c r="O4" t="s">
        <v>23</v>
      </c>
      <c r="P4" t="s">
        <v>41</v>
      </c>
      <c r="Q4" t="s">
        <v>67</v>
      </c>
      <c r="R4" t="s">
        <v>24</v>
      </c>
      <c r="S4" t="s">
        <v>46</v>
      </c>
      <c r="U4" t="s">
        <v>214</v>
      </c>
      <c r="V4" t="s">
        <v>215</v>
      </c>
      <c r="W4" t="s">
        <v>216</v>
      </c>
      <c r="X4" s="2" t="s">
        <v>217</v>
      </c>
      <c r="Y4" s="2" t="s">
        <v>218</v>
      </c>
      <c r="Z4" t="s">
        <v>0</v>
      </c>
      <c r="AA4" s="2" t="s">
        <v>219</v>
      </c>
      <c r="AB4" s="2" t="s">
        <v>220</v>
      </c>
      <c r="AC4" s="1" t="s">
        <v>221</v>
      </c>
      <c r="AD4" s="2" t="s">
        <v>222</v>
      </c>
    </row>
    <row r="5" spans="2:34" ht="16.5">
      <c r="B5" s="2" t="s">
        <v>223</v>
      </c>
      <c r="C5" s="2" t="s">
        <v>224</v>
      </c>
      <c r="D5" s="2" t="s">
        <v>225</v>
      </c>
      <c r="E5" s="2" t="s">
        <v>226</v>
      </c>
      <c r="F5" s="2" t="s">
        <v>227</v>
      </c>
      <c r="G5" s="2" t="s">
        <v>228</v>
      </c>
      <c r="H5" s="2" t="s">
        <v>229</v>
      </c>
      <c r="I5" s="2" t="s">
        <v>230</v>
      </c>
      <c r="J5" s="2" t="s">
        <v>231</v>
      </c>
      <c r="K5" t="s">
        <v>232</v>
      </c>
      <c r="L5" t="s">
        <v>233</v>
      </c>
      <c r="M5" t="s">
        <v>234</v>
      </c>
      <c r="N5" s="2" t="s">
        <v>235</v>
      </c>
      <c r="O5" s="2" t="s">
        <v>236</v>
      </c>
      <c r="P5" s="2" t="s">
        <v>237</v>
      </c>
      <c r="Q5" s="2" t="s">
        <v>238</v>
      </c>
      <c r="R5" s="2" t="s">
        <v>239</v>
      </c>
      <c r="S5" s="2" t="s">
        <v>240</v>
      </c>
      <c r="U5" t="s">
        <v>3</v>
      </c>
      <c r="V5" t="s">
        <v>4</v>
      </c>
      <c r="W5" t="s">
        <v>241</v>
      </c>
      <c r="X5" s="2" t="s">
        <v>242</v>
      </c>
      <c r="Y5" s="2" t="s">
        <v>243</v>
      </c>
      <c r="Z5" s="1" t="s">
        <v>1</v>
      </c>
      <c r="AA5" s="2" t="s">
        <v>244</v>
      </c>
      <c r="AB5" s="2" t="s">
        <v>245</v>
      </c>
      <c r="AC5" s="1" t="s">
        <v>246</v>
      </c>
      <c r="AD5" s="2" t="s">
        <v>247</v>
      </c>
    </row>
    <row r="6" spans="2:34" ht="16.5">
      <c r="B6" s="2" t="s">
        <v>248</v>
      </c>
      <c r="C6" s="2" t="s">
        <v>249</v>
      </c>
      <c r="D6" s="2" t="s">
        <v>250</v>
      </c>
      <c r="E6" s="2" t="s">
        <v>251</v>
      </c>
      <c r="F6" s="2" t="s">
        <v>252</v>
      </c>
      <c r="G6" s="2" t="s">
        <v>253</v>
      </c>
      <c r="H6" s="2" t="s">
        <v>254</v>
      </c>
      <c r="I6" s="2" t="s">
        <v>255</v>
      </c>
      <c r="J6" s="2" t="s">
        <v>256</v>
      </c>
      <c r="K6" t="s">
        <v>257</v>
      </c>
      <c r="L6" t="s">
        <v>258</v>
      </c>
      <c r="M6" t="s">
        <v>259</v>
      </c>
      <c r="N6" s="2" t="s">
        <v>260</v>
      </c>
      <c r="O6" s="2" t="s">
        <v>261</v>
      </c>
      <c r="P6" s="2" t="s">
        <v>262</v>
      </c>
      <c r="Q6" s="2" t="s">
        <v>263</v>
      </c>
      <c r="R6" s="2" t="s">
        <v>264</v>
      </c>
      <c r="S6" s="2" t="s">
        <v>265</v>
      </c>
      <c r="U6" s="2" t="s">
        <v>266</v>
      </c>
      <c r="V6" s="2" t="s">
        <v>267</v>
      </c>
      <c r="W6" t="s">
        <v>268</v>
      </c>
      <c r="X6" s="2" t="s">
        <v>269</v>
      </c>
      <c r="Y6" s="2" t="s">
        <v>270</v>
      </c>
      <c r="Z6" s="1" t="s">
        <v>2</v>
      </c>
      <c r="AA6" s="2" t="s">
        <v>271</v>
      </c>
      <c r="AB6" s="2" t="s">
        <v>272</v>
      </c>
      <c r="AC6" s="1" t="s">
        <v>273</v>
      </c>
      <c r="AD6" s="2" t="s">
        <v>274</v>
      </c>
    </row>
    <row r="7" spans="2:34" ht="16.5">
      <c r="B7" s="2" t="s">
        <v>275</v>
      </c>
      <c r="C7" s="2" t="s">
        <v>276</v>
      </c>
      <c r="D7" s="2" t="s">
        <v>277</v>
      </c>
      <c r="E7" s="2" t="s">
        <v>278</v>
      </c>
      <c r="F7" s="2" t="s">
        <v>279</v>
      </c>
      <c r="G7" s="2" t="s">
        <v>280</v>
      </c>
      <c r="H7" s="2" t="s">
        <v>281</v>
      </c>
      <c r="I7" s="2" t="s">
        <v>282</v>
      </c>
      <c r="J7" s="2" t="s">
        <v>283</v>
      </c>
      <c r="K7" t="s">
        <v>284</v>
      </c>
      <c r="L7" t="s">
        <v>285</v>
      </c>
      <c r="M7" t="s">
        <v>286</v>
      </c>
      <c r="N7" s="2" t="s">
        <v>287</v>
      </c>
      <c r="O7" s="2" t="s">
        <v>288</v>
      </c>
      <c r="P7" s="2" t="s">
        <v>289</v>
      </c>
      <c r="Q7" s="2" t="s">
        <v>290</v>
      </c>
      <c r="R7" s="2" t="s">
        <v>291</v>
      </c>
      <c r="S7" s="2" t="s">
        <v>292</v>
      </c>
      <c r="U7" s="2" t="s">
        <v>293</v>
      </c>
      <c r="V7" s="2" t="s">
        <v>294</v>
      </c>
      <c r="W7" t="s">
        <v>295</v>
      </c>
      <c r="X7" s="2" t="s">
        <v>296</v>
      </c>
      <c r="Y7" s="2" t="s">
        <v>297</v>
      </c>
      <c r="Z7" s="1" t="s">
        <v>298</v>
      </c>
      <c r="AA7" t="s">
        <v>299</v>
      </c>
      <c r="AB7" s="2" t="s">
        <v>300</v>
      </c>
      <c r="AC7" s="2"/>
      <c r="AD7" s="2" t="s">
        <v>301</v>
      </c>
    </row>
    <row r="8" spans="2:34" ht="16.5">
      <c r="B8" s="2" t="s">
        <v>302</v>
      </c>
      <c r="C8" s="2" t="s">
        <v>303</v>
      </c>
      <c r="D8" s="2" t="s">
        <v>304</v>
      </c>
      <c r="E8" s="2" t="s">
        <v>305</v>
      </c>
      <c r="F8" s="2" t="s">
        <v>306</v>
      </c>
      <c r="G8" s="2" t="s">
        <v>307</v>
      </c>
      <c r="H8" s="2" t="s">
        <v>308</v>
      </c>
      <c r="I8" s="2" t="s">
        <v>309</v>
      </c>
      <c r="J8" s="2" t="s">
        <v>310</v>
      </c>
      <c r="K8" t="s">
        <v>311</v>
      </c>
      <c r="L8" t="s">
        <v>312</v>
      </c>
      <c r="M8" t="s">
        <v>313</v>
      </c>
      <c r="N8" s="2" t="s">
        <v>314</v>
      </c>
      <c r="O8" s="2" t="s">
        <v>315</v>
      </c>
      <c r="P8" s="2" t="s">
        <v>316</v>
      </c>
      <c r="Q8" s="2" t="s">
        <v>317</v>
      </c>
      <c r="R8" s="2" t="s">
        <v>318</v>
      </c>
      <c r="S8" s="2" t="s">
        <v>319</v>
      </c>
      <c r="U8" s="2" t="s">
        <v>320</v>
      </c>
      <c r="V8" s="2" t="s">
        <v>321</v>
      </c>
      <c r="W8" t="s">
        <v>322</v>
      </c>
      <c r="X8" s="1" t="s">
        <v>323</v>
      </c>
      <c r="Y8" s="3" t="s">
        <v>324</v>
      </c>
      <c r="AA8" s="2" t="s">
        <v>325</v>
      </c>
      <c r="AB8" s="2" t="s">
        <v>326</v>
      </c>
      <c r="AC8" t="s">
        <v>327</v>
      </c>
      <c r="AD8" s="2" t="s">
        <v>328</v>
      </c>
    </row>
    <row r="9" spans="2:34" ht="16.5">
      <c r="B9" s="2" t="s">
        <v>329</v>
      </c>
      <c r="C9" s="2" t="s">
        <v>330</v>
      </c>
      <c r="D9" s="2" t="s">
        <v>331</v>
      </c>
      <c r="E9" s="2" t="s">
        <v>332</v>
      </c>
      <c r="F9" s="2" t="s">
        <v>333</v>
      </c>
      <c r="G9" s="2" t="s">
        <v>334</v>
      </c>
      <c r="H9" s="2" t="s">
        <v>335</v>
      </c>
      <c r="I9" s="2" t="s">
        <v>336</v>
      </c>
      <c r="J9" s="2" t="s">
        <v>337</v>
      </c>
      <c r="K9" t="s">
        <v>338</v>
      </c>
      <c r="L9" t="s">
        <v>339</v>
      </c>
      <c r="M9" t="s">
        <v>340</v>
      </c>
      <c r="N9" s="2" t="s">
        <v>341</v>
      </c>
      <c r="O9" s="2" t="s">
        <v>342</v>
      </c>
      <c r="P9" s="2" t="s">
        <v>343</v>
      </c>
      <c r="Q9" s="2" t="s">
        <v>344</v>
      </c>
      <c r="R9" s="2" t="s">
        <v>345</v>
      </c>
      <c r="S9" s="2" t="s">
        <v>346</v>
      </c>
      <c r="U9" s="2" t="s">
        <v>347</v>
      </c>
      <c r="V9" s="2" t="s">
        <v>348</v>
      </c>
      <c r="W9" t="s">
        <v>349</v>
      </c>
      <c r="X9" s="1" t="s">
        <v>350</v>
      </c>
      <c r="Y9" s="1" t="s">
        <v>351</v>
      </c>
      <c r="Z9" s="2"/>
      <c r="AA9" s="2" t="s">
        <v>352</v>
      </c>
      <c r="AB9" s="2"/>
      <c r="AC9" t="s">
        <v>353</v>
      </c>
    </row>
    <row r="10" spans="2:34" ht="16.5">
      <c r="B10" s="2" t="s">
        <v>354</v>
      </c>
      <c r="C10" s="2" t="s">
        <v>355</v>
      </c>
      <c r="D10" s="2" t="s">
        <v>356</v>
      </c>
      <c r="E10" s="2" t="s">
        <v>357</v>
      </c>
      <c r="F10" s="2" t="s">
        <v>358</v>
      </c>
      <c r="G10" s="2" t="s">
        <v>359</v>
      </c>
      <c r="H10" s="2" t="s">
        <v>360</v>
      </c>
      <c r="I10" s="2" t="s">
        <v>361</v>
      </c>
      <c r="J10" s="2" t="s">
        <v>362</v>
      </c>
      <c r="K10" t="s">
        <v>363</v>
      </c>
      <c r="L10" t="s">
        <v>364</v>
      </c>
      <c r="M10" t="s">
        <v>365</v>
      </c>
      <c r="N10" s="2" t="s">
        <v>366</v>
      </c>
      <c r="O10" s="2" t="s">
        <v>367</v>
      </c>
      <c r="P10" s="2" t="s">
        <v>368</v>
      </c>
      <c r="Q10" s="2" t="s">
        <v>369</v>
      </c>
      <c r="R10" s="2" t="s">
        <v>370</v>
      </c>
      <c r="S10" s="2" t="s">
        <v>371</v>
      </c>
      <c r="T10" s="2"/>
      <c r="U10" s="2" t="s">
        <v>372</v>
      </c>
      <c r="V10" s="2" t="s">
        <v>373</v>
      </c>
      <c r="W10" t="s">
        <v>374</v>
      </c>
      <c r="X10" s="1" t="s">
        <v>375</v>
      </c>
      <c r="Y10" s="1" t="s">
        <v>376</v>
      </c>
      <c r="Z10" s="2"/>
      <c r="AA10" s="2" t="s">
        <v>377</v>
      </c>
      <c r="AB10" s="2" t="s">
        <v>378</v>
      </c>
      <c r="AC10" t="s">
        <v>379</v>
      </c>
      <c r="AD10" s="2"/>
    </row>
    <row r="11" spans="2:34" ht="16.5">
      <c r="B11" t="s">
        <v>380</v>
      </c>
      <c r="C11" t="s">
        <v>381</v>
      </c>
      <c r="D11" t="s">
        <v>382</v>
      </c>
      <c r="E11" t="s">
        <v>383</v>
      </c>
      <c r="F11" t="s">
        <v>384</v>
      </c>
      <c r="G11" t="s">
        <v>385</v>
      </c>
      <c r="H11" t="s">
        <v>386</v>
      </c>
      <c r="I11" s="2" t="s">
        <v>387</v>
      </c>
      <c r="J11" t="s">
        <v>388</v>
      </c>
      <c r="K11" t="s">
        <v>389</v>
      </c>
      <c r="L11" t="s">
        <v>25</v>
      </c>
      <c r="M11" t="s">
        <v>48</v>
      </c>
      <c r="N11" t="s">
        <v>63</v>
      </c>
      <c r="O11" t="s">
        <v>26</v>
      </c>
      <c r="P11" t="s">
        <v>45</v>
      </c>
      <c r="Q11" t="s">
        <v>70</v>
      </c>
      <c r="R11" t="s">
        <v>27</v>
      </c>
      <c r="S11" t="s">
        <v>50</v>
      </c>
      <c r="U11" s="2" t="s">
        <v>390</v>
      </c>
      <c r="V11" s="2" t="s">
        <v>391</v>
      </c>
      <c r="W11" t="s">
        <v>392</v>
      </c>
      <c r="X11" s="2" t="s">
        <v>393</v>
      </c>
      <c r="Y11" s="1" t="s">
        <v>394</v>
      </c>
      <c r="Z11" s="2"/>
      <c r="AA11" s="2" t="s">
        <v>395</v>
      </c>
      <c r="AB11" s="2" t="s">
        <v>396</v>
      </c>
      <c r="AC11" s="2" t="s">
        <v>397</v>
      </c>
      <c r="AD11" s="2"/>
    </row>
    <row r="12" spans="2:34" ht="16.5">
      <c r="B12" s="2" t="s">
        <v>398</v>
      </c>
      <c r="C12" s="2" t="s">
        <v>399</v>
      </c>
      <c r="D12" s="2" t="s">
        <v>400</v>
      </c>
      <c r="E12" s="2" t="s">
        <v>401</v>
      </c>
      <c r="F12" s="2" t="s">
        <v>402</v>
      </c>
      <c r="G12" s="2" t="s">
        <v>403</v>
      </c>
      <c r="H12" s="2" t="s">
        <v>404</v>
      </c>
      <c r="I12" t="s">
        <v>405</v>
      </c>
      <c r="J12" s="2" t="s">
        <v>406</v>
      </c>
      <c r="K12" t="s">
        <v>407</v>
      </c>
      <c r="L12" t="s">
        <v>408</v>
      </c>
      <c r="M12" t="s">
        <v>409</v>
      </c>
      <c r="N12" s="2" t="s">
        <v>410</v>
      </c>
      <c r="O12" s="2" t="s">
        <v>411</v>
      </c>
      <c r="P12" s="2" t="s">
        <v>412</v>
      </c>
      <c r="Q12" s="2" t="s">
        <v>413</v>
      </c>
      <c r="R12" s="2" t="s">
        <v>414</v>
      </c>
      <c r="S12" s="2" t="s">
        <v>415</v>
      </c>
      <c r="T12" s="2"/>
      <c r="U12" t="s">
        <v>5</v>
      </c>
      <c r="V12" t="s">
        <v>6</v>
      </c>
      <c r="W12" t="s">
        <v>416</v>
      </c>
      <c r="X12" s="1" t="s">
        <v>417</v>
      </c>
      <c r="Y12" s="1" t="s">
        <v>418</v>
      </c>
      <c r="Z12" s="1"/>
      <c r="AA12" t="s">
        <v>419</v>
      </c>
      <c r="AC12" s="2" t="s">
        <v>420</v>
      </c>
      <c r="AD12" s="2"/>
    </row>
    <row r="13" spans="2:34" ht="16.5">
      <c r="B13" s="2" t="s">
        <v>421</v>
      </c>
      <c r="C13" s="2" t="s">
        <v>422</v>
      </c>
      <c r="D13" s="2" t="s">
        <v>423</v>
      </c>
      <c r="E13" s="2" t="s">
        <v>424</v>
      </c>
      <c r="F13" s="2" t="s">
        <v>425</v>
      </c>
      <c r="G13" s="2" t="s">
        <v>426</v>
      </c>
      <c r="H13" s="2" t="s">
        <v>427</v>
      </c>
      <c r="I13" s="2" t="s">
        <v>428</v>
      </c>
      <c r="J13" s="2" t="s">
        <v>429</v>
      </c>
      <c r="K13" t="s">
        <v>430</v>
      </c>
      <c r="L13" t="s">
        <v>431</v>
      </c>
      <c r="M13" t="s">
        <v>432</v>
      </c>
      <c r="N13" s="2" t="s">
        <v>433</v>
      </c>
      <c r="O13" s="2" t="s">
        <v>434</v>
      </c>
      <c r="P13" s="2" t="s">
        <v>435</v>
      </c>
      <c r="Q13" s="2" t="s">
        <v>436</v>
      </c>
      <c r="R13" s="2" t="s">
        <v>437</v>
      </c>
      <c r="S13" s="2" t="s">
        <v>438</v>
      </c>
      <c r="T13" s="2"/>
      <c r="U13" s="2" t="s">
        <v>439</v>
      </c>
      <c r="V13" s="2" t="s">
        <v>440</v>
      </c>
      <c r="W13" t="s">
        <v>441</v>
      </c>
      <c r="X13" t="s">
        <v>442</v>
      </c>
      <c r="Y13" s="1" t="s">
        <v>443</v>
      </c>
      <c r="Z13" s="2"/>
      <c r="AA13" s="2" t="s">
        <v>444</v>
      </c>
      <c r="AB13" s="1" t="s">
        <v>445</v>
      </c>
      <c r="AC13" s="2" t="s">
        <v>446</v>
      </c>
    </row>
    <row r="14" spans="2:34" ht="16.5">
      <c r="B14" s="2" t="s">
        <v>447</v>
      </c>
      <c r="C14" s="2" t="s">
        <v>448</v>
      </c>
      <c r="D14" s="2" t="s">
        <v>449</v>
      </c>
      <c r="E14" s="2" t="s">
        <v>450</v>
      </c>
      <c r="F14" s="2" t="s">
        <v>451</v>
      </c>
      <c r="G14" s="2" t="s">
        <v>452</v>
      </c>
      <c r="H14" s="2" t="s">
        <v>453</v>
      </c>
      <c r="I14" s="2" t="s">
        <v>454</v>
      </c>
      <c r="J14" s="2" t="s">
        <v>455</v>
      </c>
      <c r="K14" t="s">
        <v>456</v>
      </c>
      <c r="L14" t="s">
        <v>457</v>
      </c>
      <c r="M14" t="s">
        <v>458</v>
      </c>
      <c r="N14" s="2" t="s">
        <v>459</v>
      </c>
      <c r="O14" s="2" t="s">
        <v>460</v>
      </c>
      <c r="P14" s="2" t="s">
        <v>461</v>
      </c>
      <c r="Q14" s="2" t="s">
        <v>462</v>
      </c>
      <c r="R14" s="2" t="s">
        <v>463</v>
      </c>
      <c r="S14" s="2" t="s">
        <v>464</v>
      </c>
      <c r="T14" s="2"/>
      <c r="U14" s="2" t="s">
        <v>465</v>
      </c>
      <c r="V14" s="2" t="s">
        <v>466</v>
      </c>
      <c r="W14" t="s">
        <v>467</v>
      </c>
      <c r="X14" s="2" t="s">
        <v>468</v>
      </c>
      <c r="Y14" s="1"/>
      <c r="Z14" s="1"/>
      <c r="AA14" s="2" t="s">
        <v>469</v>
      </c>
      <c r="AB14" s="2" t="s">
        <v>470</v>
      </c>
      <c r="AC14" s="2" t="s">
        <v>471</v>
      </c>
    </row>
    <row r="15" spans="2:34" ht="16.5">
      <c r="B15" s="2" t="s">
        <v>472</v>
      </c>
      <c r="C15" s="2" t="s">
        <v>473</v>
      </c>
      <c r="D15" s="2" t="s">
        <v>474</v>
      </c>
      <c r="E15" s="2" t="s">
        <v>475</v>
      </c>
      <c r="F15" s="2" t="s">
        <v>476</v>
      </c>
      <c r="G15" s="2" t="s">
        <v>477</v>
      </c>
      <c r="H15" s="2" t="s">
        <v>478</v>
      </c>
      <c r="I15" s="2" t="s">
        <v>479</v>
      </c>
      <c r="J15" s="2" t="s">
        <v>480</v>
      </c>
      <c r="K15" t="s">
        <v>481</v>
      </c>
      <c r="L15" t="s">
        <v>482</v>
      </c>
      <c r="M15" t="s">
        <v>483</v>
      </c>
      <c r="N15" s="2" t="s">
        <v>484</v>
      </c>
      <c r="O15" s="2" t="s">
        <v>485</v>
      </c>
      <c r="P15" s="2" t="s">
        <v>486</v>
      </c>
      <c r="Q15" s="2" t="s">
        <v>487</v>
      </c>
      <c r="R15" s="2" t="s">
        <v>488</v>
      </c>
      <c r="S15" s="2" t="s">
        <v>489</v>
      </c>
      <c r="T15" s="2"/>
      <c r="U15" s="2" t="s">
        <v>490</v>
      </c>
      <c r="V15" s="2" t="s">
        <v>491</v>
      </c>
      <c r="W15" t="s">
        <v>492</v>
      </c>
      <c r="X15" s="2" t="s">
        <v>493</v>
      </c>
      <c r="Y15" t="s">
        <v>494</v>
      </c>
      <c r="AA15" s="2" t="s">
        <v>495</v>
      </c>
      <c r="AB15" s="2" t="s">
        <v>496</v>
      </c>
      <c r="AC15" s="2" t="s">
        <v>497</v>
      </c>
    </row>
    <row r="16" spans="2:34" ht="16.5">
      <c r="B16" s="2" t="s">
        <v>498</v>
      </c>
      <c r="C16" s="2" t="s">
        <v>499</v>
      </c>
      <c r="D16" s="2" t="s">
        <v>500</v>
      </c>
      <c r="E16" s="2" t="s">
        <v>501</v>
      </c>
      <c r="F16" s="2" t="s">
        <v>502</v>
      </c>
      <c r="G16" s="2" t="s">
        <v>503</v>
      </c>
      <c r="H16" s="4" t="s">
        <v>504</v>
      </c>
      <c r="I16" s="2" t="s">
        <v>505</v>
      </c>
      <c r="J16" s="2" t="s">
        <v>506</v>
      </c>
      <c r="K16" t="s">
        <v>507</v>
      </c>
      <c r="L16" t="s">
        <v>508</v>
      </c>
      <c r="M16" t="s">
        <v>509</v>
      </c>
      <c r="N16" s="2" t="s">
        <v>510</v>
      </c>
      <c r="O16" s="2" t="s">
        <v>511</v>
      </c>
      <c r="P16" s="2" t="s">
        <v>512</v>
      </c>
      <c r="Q16" s="2" t="s">
        <v>513</v>
      </c>
      <c r="R16" s="2" t="s">
        <v>514</v>
      </c>
      <c r="S16" s="2" t="s">
        <v>515</v>
      </c>
      <c r="T16" s="2"/>
      <c r="U16" s="2" t="s">
        <v>516</v>
      </c>
      <c r="V16" s="2" t="s">
        <v>517</v>
      </c>
      <c r="W16" t="s">
        <v>518</v>
      </c>
      <c r="X16" s="2" t="s">
        <v>519</v>
      </c>
      <c r="Y16" t="s">
        <v>520</v>
      </c>
      <c r="Z16" s="2"/>
      <c r="AA16" s="2" t="s">
        <v>521</v>
      </c>
      <c r="AC16" s="2" t="s">
        <v>522</v>
      </c>
    </row>
    <row r="17" spans="2:29" ht="16.5">
      <c r="B17" s="2" t="s">
        <v>523</v>
      </c>
      <c r="C17" s="2" t="s">
        <v>524</v>
      </c>
      <c r="D17" t="s">
        <v>525</v>
      </c>
      <c r="E17" s="2" t="s">
        <v>526</v>
      </c>
      <c r="F17" s="2" t="s">
        <v>527</v>
      </c>
      <c r="G17" s="2" t="s">
        <v>528</v>
      </c>
      <c r="H17" s="2" t="s">
        <v>529</v>
      </c>
      <c r="I17" s="2" t="s">
        <v>530</v>
      </c>
      <c r="J17" s="2" t="s">
        <v>531</v>
      </c>
      <c r="K17" t="s">
        <v>532</v>
      </c>
      <c r="L17" t="s">
        <v>533</v>
      </c>
      <c r="M17" t="s">
        <v>534</v>
      </c>
      <c r="N17" s="2" t="s">
        <v>535</v>
      </c>
      <c r="O17" s="2" t="s">
        <v>536</v>
      </c>
      <c r="P17" s="2" t="s">
        <v>537</v>
      </c>
      <c r="Q17" s="2" t="s">
        <v>538</v>
      </c>
      <c r="R17" s="2" t="s">
        <v>539</v>
      </c>
      <c r="S17" s="2" t="s">
        <v>540</v>
      </c>
      <c r="T17" s="2"/>
      <c r="U17" s="2" t="s">
        <v>541</v>
      </c>
      <c r="V17" s="1" t="s">
        <v>8</v>
      </c>
      <c r="W17" t="s">
        <v>542</v>
      </c>
      <c r="X17" s="2" t="s">
        <v>543</v>
      </c>
      <c r="Y17" s="2" t="s">
        <v>544</v>
      </c>
      <c r="Z17" s="2"/>
      <c r="AA17" t="s">
        <v>545</v>
      </c>
      <c r="AB17" s="2" t="s">
        <v>546</v>
      </c>
      <c r="AC17" t="s">
        <v>547</v>
      </c>
    </row>
    <row r="18" spans="2:29" ht="16.5">
      <c r="B18" t="s">
        <v>548</v>
      </c>
      <c r="C18" t="s">
        <v>549</v>
      </c>
      <c r="D18" s="2" t="s">
        <v>550</v>
      </c>
      <c r="E18" s="2" t="s">
        <v>551</v>
      </c>
      <c r="F18" t="s">
        <v>552</v>
      </c>
      <c r="G18" t="s">
        <v>553</v>
      </c>
      <c r="H18" t="s">
        <v>554</v>
      </c>
      <c r="I18" s="2" t="s">
        <v>555</v>
      </c>
      <c r="J18" t="s">
        <v>556</v>
      </c>
      <c r="K18" t="s">
        <v>557</v>
      </c>
      <c r="L18" t="s">
        <v>29</v>
      </c>
      <c r="M18" t="s">
        <v>52</v>
      </c>
      <c r="N18" t="s">
        <v>66</v>
      </c>
      <c r="O18" t="s">
        <v>30</v>
      </c>
      <c r="P18" t="s">
        <v>49</v>
      </c>
      <c r="Q18" t="s">
        <v>73</v>
      </c>
      <c r="R18" t="s">
        <v>31</v>
      </c>
      <c r="S18" t="s">
        <v>54</v>
      </c>
      <c r="U18" s="2" t="s">
        <v>558</v>
      </c>
      <c r="W18" t="s">
        <v>559</v>
      </c>
      <c r="X18" t="s">
        <v>560</v>
      </c>
      <c r="Y18" s="2" t="s">
        <v>561</v>
      </c>
      <c r="Z18" s="2"/>
      <c r="AA18" s="2" t="s">
        <v>562</v>
      </c>
      <c r="AB18" s="2" t="s">
        <v>563</v>
      </c>
      <c r="AC18" s="2" t="s">
        <v>564</v>
      </c>
    </row>
    <row r="19" spans="2:29" ht="16.5">
      <c r="B19" s="2" t="s">
        <v>565</v>
      </c>
      <c r="C19" s="2" t="s">
        <v>566</v>
      </c>
      <c r="D19" s="2" t="s">
        <v>567</v>
      </c>
      <c r="E19" t="s">
        <v>568</v>
      </c>
      <c r="F19" s="2" t="s">
        <v>569</v>
      </c>
      <c r="G19" s="2" t="s">
        <v>570</v>
      </c>
      <c r="H19" s="2" t="s">
        <v>571</v>
      </c>
      <c r="I19" s="2" t="s">
        <v>572</v>
      </c>
      <c r="J19" s="2" t="s">
        <v>573</v>
      </c>
      <c r="K19" t="s">
        <v>574</v>
      </c>
      <c r="L19" t="s">
        <v>575</v>
      </c>
      <c r="M19" t="s">
        <v>576</v>
      </c>
      <c r="N19" s="2" t="s">
        <v>577</v>
      </c>
      <c r="O19" s="2" t="s">
        <v>578</v>
      </c>
      <c r="P19" s="2" t="s">
        <v>579</v>
      </c>
      <c r="Q19" s="2" t="s">
        <v>580</v>
      </c>
      <c r="R19" s="2" t="s">
        <v>581</v>
      </c>
      <c r="S19" s="2" t="s">
        <v>582</v>
      </c>
      <c r="T19" s="2"/>
      <c r="U19" s="2" t="s">
        <v>583</v>
      </c>
      <c r="W19" t="s">
        <v>584</v>
      </c>
      <c r="X19" t="s">
        <v>585</v>
      </c>
      <c r="Y19" s="2" t="s">
        <v>586</v>
      </c>
      <c r="Z19" s="2"/>
      <c r="AA19" s="2" t="s">
        <v>587</v>
      </c>
      <c r="AC19" s="2" t="s">
        <v>588</v>
      </c>
    </row>
    <row r="20" spans="2:29" ht="16.5">
      <c r="B20" s="2" t="s">
        <v>589</v>
      </c>
      <c r="C20" s="2" t="s">
        <v>590</v>
      </c>
      <c r="D20" s="2" t="s">
        <v>591</v>
      </c>
      <c r="E20" s="2" t="s">
        <v>592</v>
      </c>
      <c r="F20" s="2" t="s">
        <v>593</v>
      </c>
      <c r="G20" s="2" t="s">
        <v>594</v>
      </c>
      <c r="H20" s="2" t="s">
        <v>595</v>
      </c>
      <c r="I20" t="s">
        <v>596</v>
      </c>
      <c r="J20" s="2" t="s">
        <v>597</v>
      </c>
      <c r="K20" t="s">
        <v>598</v>
      </c>
      <c r="L20" t="s">
        <v>599</v>
      </c>
      <c r="M20" t="s">
        <v>600</v>
      </c>
      <c r="N20" s="2" t="s">
        <v>601</v>
      </c>
      <c r="O20" s="2" t="s">
        <v>602</v>
      </c>
      <c r="P20" s="2" t="s">
        <v>603</v>
      </c>
      <c r="Q20" s="2" t="s">
        <v>604</v>
      </c>
      <c r="R20" s="2" t="s">
        <v>605</v>
      </c>
      <c r="S20" s="2" t="s">
        <v>606</v>
      </c>
      <c r="T20" s="2"/>
      <c r="U20" t="s">
        <v>7</v>
      </c>
      <c r="W20" t="s">
        <v>607</v>
      </c>
      <c r="X20" s="2" t="s">
        <v>608</v>
      </c>
      <c r="Y20" s="2" t="s">
        <v>609</v>
      </c>
      <c r="AA20" s="2" t="s">
        <v>610</v>
      </c>
      <c r="AB20" s="2" t="s">
        <v>611</v>
      </c>
      <c r="AC20" s="2" t="s">
        <v>612</v>
      </c>
    </row>
    <row r="21" spans="2:29" ht="16.5">
      <c r="B21" s="2" t="s">
        <v>613</v>
      </c>
      <c r="C21" s="2" t="s">
        <v>614</v>
      </c>
      <c r="D21" s="2" t="s">
        <v>615</v>
      </c>
      <c r="E21" s="2" t="s">
        <v>616</v>
      </c>
      <c r="F21" s="2" t="s">
        <v>617</v>
      </c>
      <c r="G21" s="2" t="s">
        <v>618</v>
      </c>
      <c r="H21" s="2" t="s">
        <v>619</v>
      </c>
      <c r="I21" s="2" t="s">
        <v>620</v>
      </c>
      <c r="J21" s="2" t="s">
        <v>621</v>
      </c>
      <c r="K21" t="s">
        <v>622</v>
      </c>
      <c r="L21" t="s">
        <v>623</v>
      </c>
      <c r="M21" t="s">
        <v>624</v>
      </c>
      <c r="N21" s="2" t="s">
        <v>625</v>
      </c>
      <c r="O21" s="2" t="s">
        <v>626</v>
      </c>
      <c r="P21" s="2" t="s">
        <v>627</v>
      </c>
      <c r="Q21" s="2" t="s">
        <v>628</v>
      </c>
      <c r="R21" s="2" t="s">
        <v>629</v>
      </c>
      <c r="S21" s="2" t="s">
        <v>630</v>
      </c>
      <c r="T21" s="2"/>
      <c r="U21" s="2" t="s">
        <v>631</v>
      </c>
      <c r="W21" t="s">
        <v>632</v>
      </c>
      <c r="X21" s="2" t="s">
        <v>633</v>
      </c>
      <c r="Y21" s="2" t="s">
        <v>634</v>
      </c>
      <c r="AA21" s="2" t="s">
        <v>635</v>
      </c>
      <c r="AB21" s="2" t="s">
        <v>636</v>
      </c>
      <c r="AC21" s="2" t="s">
        <v>637</v>
      </c>
    </row>
    <row r="22" spans="2:29" ht="16.5">
      <c r="B22" s="2" t="s">
        <v>638</v>
      </c>
      <c r="C22" s="2" t="s">
        <v>639</v>
      </c>
      <c r="D22" s="2" t="s">
        <v>640</v>
      </c>
      <c r="E22" s="2" t="s">
        <v>641</v>
      </c>
      <c r="F22" s="2" t="s">
        <v>642</v>
      </c>
      <c r="G22" s="2" t="s">
        <v>643</v>
      </c>
      <c r="H22" s="2" t="s">
        <v>644</v>
      </c>
      <c r="I22" s="2" t="s">
        <v>645</v>
      </c>
      <c r="J22" s="2" t="s">
        <v>646</v>
      </c>
      <c r="K22" t="s">
        <v>647</v>
      </c>
      <c r="L22" t="s">
        <v>648</v>
      </c>
      <c r="M22" t="s">
        <v>649</v>
      </c>
      <c r="N22" s="2" t="s">
        <v>650</v>
      </c>
      <c r="O22" s="2" t="s">
        <v>651</v>
      </c>
      <c r="P22" s="2" t="s">
        <v>652</v>
      </c>
      <c r="Q22" s="2" t="s">
        <v>653</v>
      </c>
      <c r="R22" s="2" t="s">
        <v>654</v>
      </c>
      <c r="S22" s="2" t="s">
        <v>655</v>
      </c>
      <c r="T22" s="2"/>
      <c r="U22" s="2" t="s">
        <v>656</v>
      </c>
      <c r="W22" t="s">
        <v>657</v>
      </c>
      <c r="X22" s="2" t="s">
        <v>658</v>
      </c>
      <c r="Y22" s="2"/>
      <c r="Z22" s="2"/>
      <c r="AA22" t="s">
        <v>659</v>
      </c>
      <c r="AC22" t="s">
        <v>660</v>
      </c>
    </row>
    <row r="23" spans="2:29" ht="16.5">
      <c r="B23" s="2" t="s">
        <v>661</v>
      </c>
      <c r="C23" s="2" t="s">
        <v>662</v>
      </c>
      <c r="D23" s="2" t="s">
        <v>663</v>
      </c>
      <c r="E23" s="2" t="s">
        <v>664</v>
      </c>
      <c r="F23" s="2" t="s">
        <v>665</v>
      </c>
      <c r="G23" s="2" t="s">
        <v>666</v>
      </c>
      <c r="H23" s="2" t="s">
        <v>667</v>
      </c>
      <c r="I23" s="2" t="s">
        <v>668</v>
      </c>
      <c r="J23" s="2" t="s">
        <v>669</v>
      </c>
      <c r="K23" t="s">
        <v>670</v>
      </c>
      <c r="L23" t="s">
        <v>671</v>
      </c>
      <c r="M23" t="s">
        <v>672</v>
      </c>
      <c r="N23" s="2" t="s">
        <v>673</v>
      </c>
      <c r="O23" s="2" t="s">
        <v>674</v>
      </c>
      <c r="P23" s="2" t="s">
        <v>675</v>
      </c>
      <c r="Q23" s="2" t="s">
        <v>676</v>
      </c>
      <c r="R23" s="2" t="s">
        <v>677</v>
      </c>
      <c r="S23" s="2" t="s">
        <v>678</v>
      </c>
      <c r="T23" s="2"/>
      <c r="U23" s="2" t="s">
        <v>679</v>
      </c>
      <c r="W23" t="s">
        <v>680</v>
      </c>
      <c r="X23" s="2" t="s">
        <v>681</v>
      </c>
      <c r="Y23" s="2"/>
      <c r="Z23" s="2"/>
      <c r="AA23" s="2" t="s">
        <v>682</v>
      </c>
      <c r="AC23" s="2" t="s">
        <v>683</v>
      </c>
    </row>
    <row r="24" spans="2:29" ht="16.5">
      <c r="B24" s="2" t="s">
        <v>684</v>
      </c>
      <c r="C24" s="2" t="s">
        <v>685</v>
      </c>
      <c r="D24" t="s">
        <v>686</v>
      </c>
      <c r="E24" s="2" t="s">
        <v>687</v>
      </c>
      <c r="F24" s="2" t="s">
        <v>688</v>
      </c>
      <c r="G24" s="2" t="s">
        <v>689</v>
      </c>
      <c r="H24" s="2" t="s">
        <v>690</v>
      </c>
      <c r="I24" s="2" t="s">
        <v>691</v>
      </c>
      <c r="J24" s="2" t="s">
        <v>692</v>
      </c>
      <c r="K24" t="s">
        <v>693</v>
      </c>
      <c r="L24" t="s">
        <v>694</v>
      </c>
      <c r="M24" t="s">
        <v>695</v>
      </c>
      <c r="N24" s="2" t="s">
        <v>696</v>
      </c>
      <c r="O24" s="2" t="s">
        <v>697</v>
      </c>
      <c r="P24" s="2" t="s">
        <v>698</v>
      </c>
      <c r="Q24" s="2" t="s">
        <v>699</v>
      </c>
      <c r="R24" s="2" t="s">
        <v>700</v>
      </c>
      <c r="S24" s="2" t="s">
        <v>701</v>
      </c>
      <c r="T24" s="2"/>
      <c r="U24" s="2" t="s">
        <v>702</v>
      </c>
      <c r="W24" t="s">
        <v>703</v>
      </c>
      <c r="X24" s="2" t="s">
        <v>704</v>
      </c>
      <c r="Y24" s="2"/>
      <c r="Z24" s="2"/>
      <c r="AA24" s="2" t="s">
        <v>705</v>
      </c>
      <c r="AC24" s="2" t="s">
        <v>706</v>
      </c>
    </row>
    <row r="25" spans="2:29" ht="16.5">
      <c r="B25" t="s">
        <v>707</v>
      </c>
      <c r="C25" t="s">
        <v>708</v>
      </c>
      <c r="D25" s="2" t="s">
        <v>709</v>
      </c>
      <c r="E25" s="2" t="s">
        <v>710</v>
      </c>
      <c r="F25" t="s">
        <v>711</v>
      </c>
      <c r="G25" t="s">
        <v>712</v>
      </c>
      <c r="H25" t="s">
        <v>713</v>
      </c>
      <c r="I25" s="2" t="s">
        <v>714</v>
      </c>
      <c r="J25" s="2" t="s">
        <v>715</v>
      </c>
      <c r="K25" t="s">
        <v>716</v>
      </c>
      <c r="L25" t="s">
        <v>32</v>
      </c>
      <c r="M25" s="2"/>
      <c r="N25" t="s">
        <v>69</v>
      </c>
      <c r="O25" t="s">
        <v>33</v>
      </c>
      <c r="P25" t="s">
        <v>53</v>
      </c>
      <c r="Q25" t="s">
        <v>75</v>
      </c>
      <c r="R25" t="s">
        <v>34</v>
      </c>
      <c r="S25" t="s">
        <v>58</v>
      </c>
      <c r="T25" s="2"/>
      <c r="U25" s="2" t="s">
        <v>717</v>
      </c>
      <c r="W25" t="s">
        <v>718</v>
      </c>
      <c r="X25" t="s">
        <v>719</v>
      </c>
      <c r="Y25" s="2"/>
      <c r="Z25" s="2"/>
      <c r="AA25" s="2" t="s">
        <v>720</v>
      </c>
      <c r="AC25" s="2" t="s">
        <v>721</v>
      </c>
    </row>
    <row r="26" spans="2:29" ht="16.5">
      <c r="B26" s="2" t="s">
        <v>722</v>
      </c>
      <c r="C26" s="2" t="s">
        <v>723</v>
      </c>
      <c r="D26" s="2" t="s">
        <v>724</v>
      </c>
      <c r="E26" s="2" t="s">
        <v>725</v>
      </c>
      <c r="F26" s="2" t="s">
        <v>726</v>
      </c>
      <c r="G26" s="2" t="s">
        <v>727</v>
      </c>
      <c r="H26" s="2" t="s">
        <v>728</v>
      </c>
      <c r="I26" s="2" t="s">
        <v>729</v>
      </c>
      <c r="J26" t="s">
        <v>730</v>
      </c>
      <c r="K26" t="s">
        <v>731</v>
      </c>
      <c r="L26" t="s">
        <v>732</v>
      </c>
      <c r="M26" s="2"/>
      <c r="N26" s="2" t="s">
        <v>733</v>
      </c>
      <c r="O26" s="2" t="s">
        <v>734</v>
      </c>
      <c r="P26" s="2" t="s">
        <v>735</v>
      </c>
      <c r="Q26" s="2" t="s">
        <v>736</v>
      </c>
      <c r="R26" s="2" t="s">
        <v>737</v>
      </c>
      <c r="S26" s="2" t="s">
        <v>738</v>
      </c>
      <c r="T26" s="2"/>
      <c r="U26" s="2" t="s">
        <v>739</v>
      </c>
      <c r="W26" t="s">
        <v>740</v>
      </c>
      <c r="X26" s="2" t="s">
        <v>741</v>
      </c>
      <c r="Y26" s="2"/>
      <c r="Z26" s="2"/>
      <c r="AA26" s="2" t="s">
        <v>742</v>
      </c>
      <c r="AC26" s="2" t="s">
        <v>743</v>
      </c>
    </row>
    <row r="27" spans="2:29" ht="16.5">
      <c r="B27" s="2" t="s">
        <v>744</v>
      </c>
      <c r="C27" s="2" t="s">
        <v>745</v>
      </c>
      <c r="D27" s="2" t="s">
        <v>746</v>
      </c>
      <c r="E27" t="s">
        <v>747</v>
      </c>
      <c r="F27" s="2" t="s">
        <v>748</v>
      </c>
      <c r="G27" s="2" t="s">
        <v>749</v>
      </c>
      <c r="H27" s="2" t="s">
        <v>750</v>
      </c>
      <c r="I27" t="s">
        <v>751</v>
      </c>
      <c r="J27" s="2" t="s">
        <v>752</v>
      </c>
      <c r="K27" t="s">
        <v>753</v>
      </c>
      <c r="L27" t="s">
        <v>754</v>
      </c>
      <c r="M27" s="2"/>
      <c r="N27" s="2" t="s">
        <v>755</v>
      </c>
      <c r="O27" s="2" t="s">
        <v>756</v>
      </c>
      <c r="P27" s="2" t="s">
        <v>757</v>
      </c>
      <c r="Q27" s="2" t="s">
        <v>758</v>
      </c>
      <c r="R27" s="2" t="s">
        <v>759</v>
      </c>
      <c r="S27" s="2" t="s">
        <v>760</v>
      </c>
      <c r="T27" s="2"/>
      <c r="U27" s="2" t="s">
        <v>761</v>
      </c>
      <c r="W27" t="s">
        <v>762</v>
      </c>
      <c r="X27" s="2" t="s">
        <v>763</v>
      </c>
      <c r="AA27" s="2" t="s">
        <v>764</v>
      </c>
      <c r="AC27" s="2" t="s">
        <v>765</v>
      </c>
    </row>
    <row r="28" spans="2:29" ht="16.5">
      <c r="B28" s="2" t="s">
        <v>766</v>
      </c>
      <c r="C28" s="2" t="s">
        <v>767</v>
      </c>
      <c r="D28" s="2" t="s">
        <v>768</v>
      </c>
      <c r="E28" s="2" t="s">
        <v>769</v>
      </c>
      <c r="F28" s="2" t="s">
        <v>770</v>
      </c>
      <c r="G28" s="2" t="s">
        <v>771</v>
      </c>
      <c r="H28" s="2" t="s">
        <v>772</v>
      </c>
      <c r="I28" s="2" t="s">
        <v>773</v>
      </c>
      <c r="J28" s="2" t="s">
        <v>774</v>
      </c>
      <c r="K28" t="s">
        <v>775</v>
      </c>
      <c r="L28" t="s">
        <v>776</v>
      </c>
      <c r="M28" s="2"/>
      <c r="N28" s="2" t="s">
        <v>777</v>
      </c>
      <c r="O28" s="2" t="s">
        <v>778</v>
      </c>
      <c r="P28" s="2" t="s">
        <v>779</v>
      </c>
      <c r="Q28" s="2" t="s">
        <v>780</v>
      </c>
      <c r="R28" s="2" t="s">
        <v>781</v>
      </c>
      <c r="S28" s="2" t="s">
        <v>782</v>
      </c>
      <c r="T28" s="2"/>
      <c r="U28" t="s">
        <v>9</v>
      </c>
      <c r="W28" t="s">
        <v>783</v>
      </c>
      <c r="X28" t="s">
        <v>784</v>
      </c>
      <c r="Y28" s="2"/>
      <c r="Z28" s="2"/>
      <c r="AA28" t="s">
        <v>785</v>
      </c>
      <c r="AC28" t="s">
        <v>786</v>
      </c>
    </row>
    <row r="29" spans="2:29" ht="16.5">
      <c r="B29" s="2" t="s">
        <v>787</v>
      </c>
      <c r="C29" s="2" t="s">
        <v>788</v>
      </c>
      <c r="D29" s="2" t="s">
        <v>789</v>
      </c>
      <c r="E29" s="2" t="s">
        <v>790</v>
      </c>
      <c r="F29" s="2" t="s">
        <v>791</v>
      </c>
      <c r="G29" s="2" t="s">
        <v>792</v>
      </c>
      <c r="H29" s="2" t="s">
        <v>793</v>
      </c>
      <c r="I29" s="2" t="s">
        <v>794</v>
      </c>
      <c r="J29" s="2" t="s">
        <v>795</v>
      </c>
      <c r="K29" t="s">
        <v>796</v>
      </c>
      <c r="L29" t="s">
        <v>797</v>
      </c>
      <c r="M29" s="2"/>
      <c r="N29" s="2" t="s">
        <v>798</v>
      </c>
      <c r="O29" s="2" t="s">
        <v>799</v>
      </c>
      <c r="P29" s="2" t="s">
        <v>800</v>
      </c>
      <c r="Q29" s="2" t="s">
        <v>801</v>
      </c>
      <c r="R29" s="2" t="s">
        <v>802</v>
      </c>
      <c r="S29" s="2" t="s">
        <v>803</v>
      </c>
      <c r="T29" s="2"/>
      <c r="U29" s="2" t="s">
        <v>804</v>
      </c>
      <c r="W29" t="s">
        <v>805</v>
      </c>
      <c r="X29" t="s">
        <v>806</v>
      </c>
      <c r="Y29" s="2"/>
      <c r="Z29" s="2"/>
      <c r="AA29" s="2" t="s">
        <v>807</v>
      </c>
      <c r="AC29" s="2" t="s">
        <v>808</v>
      </c>
    </row>
    <row r="30" spans="2:29" ht="16.5">
      <c r="B30" s="2" t="s">
        <v>809</v>
      </c>
      <c r="C30" s="2" t="s">
        <v>810</v>
      </c>
      <c r="D30" s="2" t="s">
        <v>811</v>
      </c>
      <c r="E30" s="2" t="s">
        <v>812</v>
      </c>
      <c r="F30" s="2" t="s">
        <v>813</v>
      </c>
      <c r="G30" s="2" t="s">
        <v>814</v>
      </c>
      <c r="H30" s="2" t="s">
        <v>815</v>
      </c>
      <c r="I30" s="2" t="s">
        <v>816</v>
      </c>
      <c r="J30" s="2" t="s">
        <v>817</v>
      </c>
      <c r="K30" t="s">
        <v>818</v>
      </c>
      <c r="L30" t="s">
        <v>819</v>
      </c>
      <c r="M30" s="2"/>
      <c r="N30" s="2" t="s">
        <v>820</v>
      </c>
      <c r="O30" s="2" t="s">
        <v>821</v>
      </c>
      <c r="P30" s="2" t="s">
        <v>822</v>
      </c>
      <c r="Q30" s="2" t="s">
        <v>823</v>
      </c>
      <c r="R30" s="2" t="s">
        <v>824</v>
      </c>
      <c r="S30" s="2" t="s">
        <v>825</v>
      </c>
      <c r="T30" s="2"/>
      <c r="U30" s="2" t="s">
        <v>826</v>
      </c>
      <c r="W30" t="s">
        <v>827</v>
      </c>
      <c r="X30" s="2" t="s">
        <v>828</v>
      </c>
      <c r="Y30" s="2"/>
      <c r="Z30" s="2"/>
      <c r="AA30" s="2" t="s">
        <v>829</v>
      </c>
      <c r="AC30" s="2" t="s">
        <v>830</v>
      </c>
    </row>
    <row r="31" spans="2:29" ht="16.5">
      <c r="B31" s="2" t="s">
        <v>831</v>
      </c>
      <c r="C31" s="2" t="s">
        <v>832</v>
      </c>
      <c r="D31" t="s">
        <v>833</v>
      </c>
      <c r="E31" s="2" t="s">
        <v>834</v>
      </c>
      <c r="F31" s="2" t="s">
        <v>835</v>
      </c>
      <c r="G31" s="2" t="s">
        <v>836</v>
      </c>
      <c r="H31" s="2" t="s">
        <v>837</v>
      </c>
      <c r="I31" s="2" t="s">
        <v>838</v>
      </c>
      <c r="J31" s="2" t="s">
        <v>839</v>
      </c>
      <c r="K31" t="s">
        <v>840</v>
      </c>
      <c r="L31" t="s">
        <v>841</v>
      </c>
      <c r="M31" s="2"/>
      <c r="N31" s="2" t="s">
        <v>842</v>
      </c>
      <c r="O31" s="2" t="s">
        <v>843</v>
      </c>
      <c r="P31" s="2" t="s">
        <v>844</v>
      </c>
      <c r="Q31" s="2" t="s">
        <v>845</v>
      </c>
      <c r="R31" s="2" t="s">
        <v>846</v>
      </c>
      <c r="S31" s="2" t="s">
        <v>847</v>
      </c>
      <c r="T31" s="2"/>
      <c r="U31" s="2" t="s">
        <v>848</v>
      </c>
      <c r="W31" t="s">
        <v>849</v>
      </c>
      <c r="X31" s="2" t="s">
        <v>850</v>
      </c>
      <c r="AA31" s="2" t="s">
        <v>851</v>
      </c>
      <c r="AC31" s="2" t="s">
        <v>852</v>
      </c>
    </row>
    <row r="32" spans="2:29" ht="16.5">
      <c r="B32" t="s">
        <v>853</v>
      </c>
      <c r="C32" t="s">
        <v>854</v>
      </c>
      <c r="D32" s="2" t="s">
        <v>855</v>
      </c>
      <c r="E32" s="2" t="s">
        <v>856</v>
      </c>
      <c r="F32" t="s">
        <v>857</v>
      </c>
      <c r="G32" t="s">
        <v>858</v>
      </c>
      <c r="H32" t="s">
        <v>859</v>
      </c>
      <c r="I32" s="2" t="s">
        <v>860</v>
      </c>
      <c r="J32" s="2" t="s">
        <v>861</v>
      </c>
      <c r="K32" t="s">
        <v>862</v>
      </c>
      <c r="L32" t="s">
        <v>863</v>
      </c>
      <c r="N32" t="s">
        <v>72</v>
      </c>
      <c r="P32" t="s">
        <v>57</v>
      </c>
      <c r="R32" t="s">
        <v>38</v>
      </c>
      <c r="U32" s="2" t="s">
        <v>864</v>
      </c>
      <c r="W32" t="s">
        <v>865</v>
      </c>
      <c r="X32" s="2" t="s">
        <v>866</v>
      </c>
      <c r="Y32" s="2"/>
      <c r="Z32" s="2"/>
      <c r="AA32" s="2" t="s">
        <v>867</v>
      </c>
      <c r="AC32" s="2" t="s">
        <v>868</v>
      </c>
    </row>
    <row r="33" spans="2:29" ht="16.5">
      <c r="B33" s="2" t="s">
        <v>869</v>
      </c>
      <c r="C33" s="2" t="s">
        <v>870</v>
      </c>
      <c r="D33" s="2" t="s">
        <v>871</v>
      </c>
      <c r="E33" s="2" t="s">
        <v>872</v>
      </c>
      <c r="F33" s="2" t="s">
        <v>873</v>
      </c>
      <c r="G33" s="2" t="s">
        <v>874</v>
      </c>
      <c r="H33" s="2" t="s">
        <v>875</v>
      </c>
      <c r="I33" s="2" t="s">
        <v>876</v>
      </c>
      <c r="J33" t="s">
        <v>877</v>
      </c>
      <c r="K33" t="s">
        <v>878</v>
      </c>
      <c r="L33" t="s">
        <v>36</v>
      </c>
      <c r="M33" s="2"/>
      <c r="N33" s="2" t="s">
        <v>879</v>
      </c>
      <c r="P33" s="2" t="s">
        <v>880</v>
      </c>
      <c r="R33" s="2" t="s">
        <v>881</v>
      </c>
      <c r="T33" s="2"/>
      <c r="U33" s="2" t="s">
        <v>882</v>
      </c>
      <c r="W33" t="s">
        <v>883</v>
      </c>
      <c r="X33" t="s">
        <v>884</v>
      </c>
      <c r="Y33" s="2"/>
      <c r="Z33" s="2"/>
      <c r="AA33" s="2"/>
      <c r="AC33" s="2" t="s">
        <v>706</v>
      </c>
    </row>
    <row r="34" spans="2:29" ht="16.5">
      <c r="B34" s="2" t="s">
        <v>885</v>
      </c>
      <c r="C34" s="2" t="s">
        <v>886</v>
      </c>
      <c r="D34" s="2" t="s">
        <v>887</v>
      </c>
      <c r="E34" s="2" t="s">
        <v>888</v>
      </c>
      <c r="F34" s="2" t="s">
        <v>889</v>
      </c>
      <c r="G34" s="2" t="s">
        <v>890</v>
      </c>
      <c r="H34" s="2" t="s">
        <v>891</v>
      </c>
      <c r="I34" t="s">
        <v>892</v>
      </c>
      <c r="J34" s="2" t="s">
        <v>893</v>
      </c>
      <c r="K34" t="s">
        <v>894</v>
      </c>
      <c r="L34" t="s">
        <v>895</v>
      </c>
      <c r="M34" s="2"/>
      <c r="N34" s="2" t="s">
        <v>896</v>
      </c>
      <c r="P34" s="2" t="s">
        <v>897</v>
      </c>
      <c r="R34" s="2" t="s">
        <v>898</v>
      </c>
      <c r="T34" s="2"/>
      <c r="U34" s="2" t="s">
        <v>899</v>
      </c>
      <c r="W34" t="s">
        <v>900</v>
      </c>
      <c r="X34" t="s">
        <v>901</v>
      </c>
      <c r="Y34" s="1"/>
      <c r="Z34" s="1"/>
      <c r="AA34" s="2"/>
      <c r="AB34" s="2"/>
      <c r="AC34" s="2" t="s">
        <v>902</v>
      </c>
    </row>
    <row r="35" spans="2:29" ht="16.5">
      <c r="B35" s="2" t="s">
        <v>903</v>
      </c>
      <c r="C35" s="2" t="s">
        <v>904</v>
      </c>
      <c r="D35" s="2" t="s">
        <v>905</v>
      </c>
      <c r="E35" t="s">
        <v>906</v>
      </c>
      <c r="F35" s="2" t="s">
        <v>907</v>
      </c>
      <c r="G35" s="2" t="s">
        <v>908</v>
      </c>
      <c r="H35" s="2" t="s">
        <v>909</v>
      </c>
      <c r="I35" s="2" t="s">
        <v>910</v>
      </c>
      <c r="J35" s="2" t="s">
        <v>911</v>
      </c>
      <c r="K35" t="s">
        <v>912</v>
      </c>
      <c r="L35" t="s">
        <v>913</v>
      </c>
      <c r="M35" s="2"/>
      <c r="N35" s="2" t="s">
        <v>914</v>
      </c>
      <c r="P35" s="2" t="s">
        <v>915</v>
      </c>
      <c r="R35" s="2" t="s">
        <v>916</v>
      </c>
      <c r="T35" s="2"/>
      <c r="U35" s="2" t="s">
        <v>917</v>
      </c>
      <c r="W35" t="s">
        <v>918</v>
      </c>
      <c r="X35" t="s">
        <v>919</v>
      </c>
      <c r="AA35" s="1"/>
    </row>
    <row r="36" spans="2:29" ht="16.5">
      <c r="B36" s="2" t="s">
        <v>920</v>
      </c>
      <c r="C36" s="2" t="s">
        <v>921</v>
      </c>
      <c r="D36" s="2" t="s">
        <v>922</v>
      </c>
      <c r="E36" s="2" t="s">
        <v>923</v>
      </c>
      <c r="F36" s="2" t="s">
        <v>924</v>
      </c>
      <c r="G36" s="2" t="s">
        <v>925</v>
      </c>
      <c r="H36" s="2" t="s">
        <v>926</v>
      </c>
      <c r="I36" s="2" t="s">
        <v>927</v>
      </c>
      <c r="J36" s="2" t="s">
        <v>928</v>
      </c>
      <c r="K36" t="s">
        <v>929</v>
      </c>
      <c r="L36" t="s">
        <v>930</v>
      </c>
      <c r="M36" s="2"/>
      <c r="N36" s="2" t="s">
        <v>931</v>
      </c>
      <c r="P36" s="2" t="s">
        <v>932</v>
      </c>
      <c r="R36" s="2" t="s">
        <v>933</v>
      </c>
      <c r="T36" s="2"/>
      <c r="U36" s="1" t="s">
        <v>10</v>
      </c>
      <c r="W36" t="s">
        <v>934</v>
      </c>
      <c r="X36" t="s">
        <v>935</v>
      </c>
      <c r="AC36" t="s">
        <v>936</v>
      </c>
    </row>
    <row r="37" spans="2:29" ht="16.5">
      <c r="B37" s="2" t="s">
        <v>937</v>
      </c>
      <c r="C37" s="2" t="s">
        <v>938</v>
      </c>
      <c r="D37" s="2" t="s">
        <v>939</v>
      </c>
      <c r="E37" s="2" t="s">
        <v>940</v>
      </c>
      <c r="F37" s="2" t="s">
        <v>941</v>
      </c>
      <c r="G37" s="2" t="s">
        <v>942</v>
      </c>
      <c r="H37" s="2" t="s">
        <v>943</v>
      </c>
      <c r="I37" s="2" t="s">
        <v>944</v>
      </c>
      <c r="J37" s="2" t="s">
        <v>945</v>
      </c>
      <c r="K37" t="s">
        <v>946</v>
      </c>
      <c r="L37" t="s">
        <v>947</v>
      </c>
      <c r="M37" s="2"/>
      <c r="N37" s="2" t="s">
        <v>948</v>
      </c>
      <c r="P37" s="2" t="s">
        <v>627</v>
      </c>
      <c r="R37" s="2" t="s">
        <v>949</v>
      </c>
      <c r="T37" s="2"/>
      <c r="U37" s="2" t="s">
        <v>950</v>
      </c>
      <c r="W37" t="s">
        <v>951</v>
      </c>
      <c r="X37" t="s">
        <v>952</v>
      </c>
      <c r="Y37" s="2"/>
      <c r="Z37" s="2"/>
      <c r="AC37" t="s">
        <v>953</v>
      </c>
    </row>
    <row r="38" spans="2:29" ht="16.5">
      <c r="B38" s="2" t="s">
        <v>954</v>
      </c>
      <c r="C38" s="2" t="s">
        <v>955</v>
      </c>
      <c r="D38" s="1" t="s">
        <v>956</v>
      </c>
      <c r="E38" s="2" t="s">
        <v>957</v>
      </c>
      <c r="F38" s="2" t="s">
        <v>958</v>
      </c>
      <c r="G38" s="2" t="s">
        <v>959</v>
      </c>
      <c r="H38" s="2" t="s">
        <v>960</v>
      </c>
      <c r="I38" s="2" t="s">
        <v>961</v>
      </c>
      <c r="J38" s="2" t="s">
        <v>962</v>
      </c>
      <c r="K38" t="s">
        <v>963</v>
      </c>
      <c r="L38" t="s">
        <v>964</v>
      </c>
      <c r="M38" s="2"/>
      <c r="N38" s="2" t="s">
        <v>965</v>
      </c>
      <c r="P38" s="2" t="s">
        <v>966</v>
      </c>
      <c r="R38" s="2" t="s">
        <v>967</v>
      </c>
      <c r="T38" s="2"/>
      <c r="W38" t="s">
        <v>968</v>
      </c>
      <c r="X38" t="s">
        <v>969</v>
      </c>
      <c r="Y38" s="2"/>
      <c r="Z38" s="2"/>
      <c r="AA38" s="2"/>
      <c r="AC38" s="2" t="s">
        <v>970</v>
      </c>
    </row>
    <row r="39" spans="2:29" ht="16.5">
      <c r="B39" t="s">
        <v>971</v>
      </c>
      <c r="C39" s="1" t="s">
        <v>972</v>
      </c>
      <c r="D39" s="2" t="s">
        <v>973</v>
      </c>
      <c r="E39" s="2" t="s">
        <v>974</v>
      </c>
      <c r="F39" s="2" t="s">
        <v>975</v>
      </c>
      <c r="G39" s="1" t="s">
        <v>976</v>
      </c>
      <c r="H39" s="1" t="s">
        <v>977</v>
      </c>
      <c r="I39" s="2" t="s">
        <v>978</v>
      </c>
      <c r="J39" s="2" t="s">
        <v>979</v>
      </c>
      <c r="K39" t="s">
        <v>980</v>
      </c>
      <c r="L39" t="s">
        <v>981</v>
      </c>
      <c r="M39" s="2"/>
      <c r="P39" t="s">
        <v>61</v>
      </c>
      <c r="T39" s="2"/>
      <c r="W39" t="s">
        <v>982</v>
      </c>
      <c r="X39" t="s">
        <v>983</v>
      </c>
      <c r="Y39" s="2"/>
      <c r="Z39" s="2"/>
      <c r="AA39" s="2"/>
      <c r="AC39" t="s">
        <v>984</v>
      </c>
    </row>
    <row r="40" spans="2:29" ht="16.5">
      <c r="B40" s="2" t="s">
        <v>985</v>
      </c>
      <c r="C40" s="2" t="s">
        <v>986</v>
      </c>
      <c r="E40" s="2" t="s">
        <v>987</v>
      </c>
      <c r="F40" s="1" t="s">
        <v>988</v>
      </c>
      <c r="G40" s="2" t="s">
        <v>989</v>
      </c>
      <c r="H40" s="2" t="s">
        <v>990</v>
      </c>
      <c r="I40" s="2" t="s">
        <v>991</v>
      </c>
      <c r="J40" t="s">
        <v>992</v>
      </c>
      <c r="K40" t="s">
        <v>993</v>
      </c>
      <c r="L40" s="2"/>
      <c r="M40" s="2"/>
      <c r="P40" t="s">
        <v>994</v>
      </c>
      <c r="T40" s="2"/>
      <c r="W40" t="s">
        <v>995</v>
      </c>
      <c r="X40" s="2" t="s">
        <v>996</v>
      </c>
      <c r="AA40" s="2"/>
      <c r="AC40" s="2" t="s">
        <v>997</v>
      </c>
    </row>
    <row r="41" spans="2:29" ht="16.5">
      <c r="E41" s="2" t="s">
        <v>998</v>
      </c>
      <c r="F41" s="2" t="s">
        <v>999</v>
      </c>
      <c r="H41" s="2"/>
      <c r="I41" s="1" t="s">
        <v>1000</v>
      </c>
      <c r="J41" s="2" t="s">
        <v>1001</v>
      </c>
      <c r="K41" t="s">
        <v>1002</v>
      </c>
      <c r="L41" s="2"/>
      <c r="M41" s="2"/>
      <c r="P41" t="s">
        <v>1003</v>
      </c>
      <c r="T41" s="2"/>
      <c r="W41" t="s">
        <v>1004</v>
      </c>
      <c r="X41" s="2" t="s">
        <v>1005</v>
      </c>
      <c r="AC41" s="2" t="s">
        <v>1006</v>
      </c>
    </row>
    <row r="42" spans="2:29" ht="16.5">
      <c r="E42" t="s">
        <v>1007</v>
      </c>
      <c r="H42" s="2"/>
      <c r="I42" s="2" t="s">
        <v>1008</v>
      </c>
      <c r="K42" t="s">
        <v>1009</v>
      </c>
      <c r="L42" s="2"/>
      <c r="M42" s="2"/>
      <c r="P42" t="s">
        <v>1010</v>
      </c>
      <c r="T42" s="2"/>
      <c r="W42" t="s">
        <v>1011</v>
      </c>
      <c r="X42" s="2" t="s">
        <v>1012</v>
      </c>
      <c r="AC42" t="s">
        <v>1013</v>
      </c>
    </row>
    <row r="43" spans="2:29" ht="16.5">
      <c r="B43" s="2"/>
      <c r="E43" s="2" t="s">
        <v>635</v>
      </c>
      <c r="H43" s="2"/>
      <c r="K43" t="s">
        <v>1014</v>
      </c>
      <c r="L43" s="2"/>
      <c r="M43" s="2"/>
      <c r="P43" t="s">
        <v>1015</v>
      </c>
      <c r="T43" s="2"/>
      <c r="W43" t="s">
        <v>1016</v>
      </c>
      <c r="X43" t="s">
        <v>1017</v>
      </c>
      <c r="AC43" s="2" t="s">
        <v>1018</v>
      </c>
    </row>
    <row r="44" spans="2:29" ht="16.5">
      <c r="B44" s="2"/>
      <c r="K44" t="s">
        <v>1019</v>
      </c>
      <c r="L44" s="2"/>
      <c r="M44" s="2"/>
      <c r="P44" t="s">
        <v>1020</v>
      </c>
      <c r="T44" s="2"/>
      <c r="W44" t="s">
        <v>1021</v>
      </c>
      <c r="X44" s="2" t="s">
        <v>1022</v>
      </c>
      <c r="AC44" s="2" t="s">
        <v>1023</v>
      </c>
    </row>
    <row r="45" spans="2:29" ht="16.5">
      <c r="B45" s="2"/>
      <c r="K45" t="s">
        <v>1024</v>
      </c>
      <c r="L45" s="2"/>
      <c r="P45" t="s">
        <v>1025</v>
      </c>
      <c r="W45" t="s">
        <v>1026</v>
      </c>
      <c r="X45" s="2" t="s">
        <v>1027</v>
      </c>
      <c r="AC45" s="2" t="s">
        <v>1028</v>
      </c>
    </row>
    <row r="46" spans="2:29" ht="16.5">
      <c r="K46" t="s">
        <v>1029</v>
      </c>
      <c r="M46" s="2"/>
      <c r="N46" s="2"/>
      <c r="O46" s="2"/>
      <c r="P46" s="2"/>
      <c r="Q46" s="2"/>
      <c r="R46" s="2"/>
      <c r="S46" s="2"/>
      <c r="T46" s="2"/>
      <c r="W46" t="s">
        <v>1030</v>
      </c>
      <c r="X46" s="2" t="s">
        <v>1031</v>
      </c>
      <c r="AC46" s="2" t="s">
        <v>1032</v>
      </c>
    </row>
    <row r="47" spans="2:29" ht="16.5">
      <c r="L47" s="2"/>
      <c r="W47" t="s">
        <v>1033</v>
      </c>
      <c r="X47" s="1" t="s">
        <v>1034</v>
      </c>
    </row>
    <row r="48" spans="2:29" ht="16.5">
      <c r="W48" t="s">
        <v>1035</v>
      </c>
      <c r="X48" s="2" t="s">
        <v>1036</v>
      </c>
    </row>
    <row r="49" spans="23:24" ht="16.5">
      <c r="W49" t="s">
        <v>1037</v>
      </c>
      <c r="X49" s="2" t="s">
        <v>1038</v>
      </c>
    </row>
    <row r="50" spans="23:24" ht="16.5">
      <c r="W50" t="s">
        <v>1039</v>
      </c>
      <c r="X50" s="2" t="s">
        <v>1040</v>
      </c>
    </row>
    <row r="51" spans="23:24" ht="16.5">
      <c r="W51" t="s">
        <v>1041</v>
      </c>
    </row>
    <row r="52" spans="23:24" ht="16.5">
      <c r="W52" t="s">
        <v>1042</v>
      </c>
    </row>
    <row r="53" spans="23:24" ht="16.5">
      <c r="W53" t="s">
        <v>1043</v>
      </c>
    </row>
    <row r="54" spans="23:24" ht="16.5">
      <c r="W54" t="s">
        <v>1044</v>
      </c>
    </row>
    <row r="55" spans="23:24" ht="16.5">
      <c r="W55" t="s">
        <v>1045</v>
      </c>
    </row>
    <row r="56" spans="23:24" ht="16.5">
      <c r="W56" t="s">
        <v>1046</v>
      </c>
    </row>
    <row r="57" spans="23:24" ht="16.5">
      <c r="W57" t="s">
        <v>1047</v>
      </c>
    </row>
    <row r="58" spans="23:24" ht="16.5">
      <c r="W58" t="s">
        <v>1048</v>
      </c>
    </row>
    <row r="59" spans="23:24" ht="16.5">
      <c r="W59" t="s">
        <v>1049</v>
      </c>
    </row>
    <row r="60" spans="23:24">
      <c r="W60" t="s">
        <v>1050</v>
      </c>
    </row>
    <row r="61" spans="23:24">
      <c r="W61" t="s">
        <v>1051</v>
      </c>
    </row>
    <row r="62" spans="23:24">
      <c r="W62" t="s">
        <v>1052</v>
      </c>
    </row>
    <row r="63" spans="23:24">
      <c r="W63" t="s">
        <v>1053</v>
      </c>
    </row>
    <row r="64" spans="23:24">
      <c r="W64" t="s">
        <v>1054</v>
      </c>
    </row>
    <row r="65" spans="23:23">
      <c r="W65" t="s">
        <v>1055</v>
      </c>
    </row>
    <row r="66" spans="23:23">
      <c r="W66" t="s">
        <v>1056</v>
      </c>
    </row>
    <row r="67" spans="23:23" ht="16.5">
      <c r="W67" t="s">
        <v>1057</v>
      </c>
    </row>
    <row r="68" spans="23:23" ht="16.5">
      <c r="W68" t="s">
        <v>1058</v>
      </c>
    </row>
  </sheetData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F117"/>
  <sheetViews>
    <sheetView topLeftCell="A53" workbookViewId="0"/>
  </sheetViews>
  <sheetFormatPr defaultRowHeight="14.25"/>
  <cols>
    <col min="1" max="1" width="22.25" style="8" bestFit="1" customWidth="1"/>
    <col min="2" max="2" width="21.375" style="8" bestFit="1" customWidth="1"/>
    <col min="3" max="3" width="22.25" style="8" customWidth="1"/>
    <col min="4" max="4" width="19.75" style="8" customWidth="1"/>
    <col min="5" max="5" width="24.25" customWidth="1"/>
    <col min="6" max="6" width="17.125" style="1" bestFit="1" customWidth="1"/>
    <col min="7" max="7" width="16.375" customWidth="1"/>
  </cols>
  <sheetData>
    <row r="1" spans="1:6" ht="15">
      <c r="A1" s="5" t="s">
        <v>1059</v>
      </c>
      <c r="B1" s="5" t="s">
        <v>1060</v>
      </c>
      <c r="C1" s="5" t="s">
        <v>1061</v>
      </c>
      <c r="D1" s="5" t="s">
        <v>1062</v>
      </c>
      <c r="E1" s="6" t="s">
        <v>1063</v>
      </c>
      <c r="F1" s="7" t="s">
        <v>1064</v>
      </c>
    </row>
    <row r="2" spans="1:6" ht="16.5">
      <c r="A2" t="s">
        <v>248</v>
      </c>
      <c r="B2" t="s">
        <v>424</v>
      </c>
      <c r="C2" s="1" t="s">
        <v>638</v>
      </c>
      <c r="D2" s="9" t="s">
        <v>661</v>
      </c>
      <c r="E2" s="1" t="s">
        <v>871</v>
      </c>
      <c r="F2" s="9" t="s">
        <v>524</v>
      </c>
    </row>
    <row r="3" spans="1:6" ht="16.5">
      <c r="A3" t="s">
        <v>421</v>
      </c>
      <c r="B3" t="s">
        <v>848</v>
      </c>
      <c r="C3" s="1" t="s">
        <v>856</v>
      </c>
      <c r="D3" s="9" t="s">
        <v>302</v>
      </c>
      <c r="E3" s="1" t="s">
        <v>887</v>
      </c>
      <c r="F3" s="9" t="s">
        <v>358</v>
      </c>
    </row>
    <row r="4" spans="1:6" ht="16.5">
      <c r="A4" t="s">
        <v>275</v>
      </c>
      <c r="B4" t="s">
        <v>848</v>
      </c>
      <c r="C4" s="1" t="s">
        <v>642</v>
      </c>
      <c r="D4" s="1" t="s">
        <v>807</v>
      </c>
      <c r="E4" s="1" t="s">
        <v>905</v>
      </c>
      <c r="F4" s="9" t="s">
        <v>359</v>
      </c>
    </row>
    <row r="5" spans="1:6" ht="16.5">
      <c r="A5" t="s">
        <v>250</v>
      </c>
      <c r="B5" t="s">
        <v>567</v>
      </c>
      <c r="C5" s="1" t="s">
        <v>336</v>
      </c>
      <c r="D5" s="1" t="s">
        <v>562</v>
      </c>
      <c r="E5" s="1" t="s">
        <v>940</v>
      </c>
      <c r="F5" s="9" t="s">
        <v>1065</v>
      </c>
    </row>
    <row r="6" spans="1:6" ht="16.5">
      <c r="A6" t="s">
        <v>425</v>
      </c>
      <c r="B6" t="s">
        <v>616</v>
      </c>
      <c r="C6" s="9" t="s">
        <v>329</v>
      </c>
      <c r="D6" s="9" t="s">
        <v>331</v>
      </c>
      <c r="E6" s="1" t="s">
        <v>957</v>
      </c>
      <c r="F6" t="s">
        <v>959</v>
      </c>
    </row>
    <row r="7" spans="1:6" ht="16.5">
      <c r="A7" t="s">
        <v>748</v>
      </c>
      <c r="B7" t="s">
        <v>750</v>
      </c>
      <c r="C7" s="1" t="s">
        <v>501</v>
      </c>
      <c r="D7" s="1" t="s">
        <v>587</v>
      </c>
      <c r="E7" s="1" t="s">
        <v>974</v>
      </c>
      <c r="F7" t="s">
        <v>973</v>
      </c>
    </row>
    <row r="8" spans="1:6" ht="16.5">
      <c r="A8" t="s">
        <v>280</v>
      </c>
      <c r="B8" t="s">
        <v>702</v>
      </c>
      <c r="C8" s="1" t="s">
        <v>465</v>
      </c>
      <c r="D8" s="9" t="s">
        <v>640</v>
      </c>
      <c r="E8" s="1" t="s">
        <v>987</v>
      </c>
      <c r="F8" s="9" t="s">
        <v>360</v>
      </c>
    </row>
    <row r="9" spans="1:6" ht="16.5">
      <c r="A9" t="s">
        <v>826</v>
      </c>
      <c r="B9" t="s">
        <v>255</v>
      </c>
      <c r="C9" s="1" t="s">
        <v>490</v>
      </c>
      <c r="D9" s="9" t="s">
        <v>335</v>
      </c>
      <c r="E9" s="1" t="s">
        <v>889</v>
      </c>
      <c r="F9" t="s">
        <v>636</v>
      </c>
    </row>
    <row r="10" spans="1:6" ht="16.5">
      <c r="A10" t="s">
        <v>452</v>
      </c>
      <c r="B10" t="s">
        <v>447</v>
      </c>
      <c r="C10" s="1" t="s">
        <v>516</v>
      </c>
      <c r="D10" s="9" t="s">
        <v>474</v>
      </c>
      <c r="E10" s="1" t="s">
        <v>907</v>
      </c>
      <c r="F10" s="9" t="s">
        <v>761</v>
      </c>
    </row>
    <row r="11" spans="1:6" ht="16.5">
      <c r="A11" t="s">
        <v>618</v>
      </c>
      <c r="B11" t="s">
        <v>766</v>
      </c>
      <c r="C11" s="1" t="s">
        <v>541</v>
      </c>
      <c r="D11" s="9" t="s">
        <v>714</v>
      </c>
      <c r="E11" s="1" t="s">
        <v>924</v>
      </c>
      <c r="F11" s="9" t="s">
        <v>1066</v>
      </c>
    </row>
    <row r="12" spans="1:6" ht="16.5">
      <c r="A12" t="s">
        <v>593</v>
      </c>
      <c r="B12" t="s">
        <v>279</v>
      </c>
      <c r="C12" s="1" t="s">
        <v>294</v>
      </c>
      <c r="D12" s="9" t="s">
        <v>361</v>
      </c>
      <c r="E12" s="1" t="s">
        <v>941</v>
      </c>
      <c r="F12" s="9" t="s">
        <v>527</v>
      </c>
    </row>
    <row r="13" spans="1:6" ht="16.5">
      <c r="A13" t="s">
        <v>252</v>
      </c>
      <c r="B13" t="s">
        <v>770</v>
      </c>
      <c r="C13" s="1" t="s">
        <v>321</v>
      </c>
      <c r="D13" s="9" t="s">
        <v>502</v>
      </c>
      <c r="E13" s="1" t="s">
        <v>890</v>
      </c>
      <c r="F13" s="9" t="s">
        <v>832</v>
      </c>
    </row>
    <row r="14" spans="1:6" ht="16.5">
      <c r="A14" t="s">
        <v>589</v>
      </c>
      <c r="B14" t="s">
        <v>594</v>
      </c>
      <c r="C14" s="1" t="s">
        <v>348</v>
      </c>
      <c r="D14" s="9" t="s">
        <v>665</v>
      </c>
      <c r="E14" s="1" t="s">
        <v>908</v>
      </c>
      <c r="F14" t="s">
        <v>1067</v>
      </c>
    </row>
    <row r="15" spans="1:6" ht="16.5">
      <c r="A15" t="s">
        <v>656</v>
      </c>
      <c r="B15" t="s">
        <v>426</v>
      </c>
      <c r="C15" s="1" t="s">
        <v>373</v>
      </c>
      <c r="D15" s="9" t="s">
        <v>555</v>
      </c>
      <c r="E15" s="1" t="s">
        <v>925</v>
      </c>
      <c r="F15" t="s">
        <v>1068</v>
      </c>
    </row>
    <row r="16" spans="1:6" ht="16.5">
      <c r="A16" t="s">
        <v>278</v>
      </c>
      <c r="B16" t="s">
        <v>251</v>
      </c>
      <c r="C16" s="1" t="s">
        <v>768</v>
      </c>
      <c r="D16" s="1" t="s">
        <v>444</v>
      </c>
      <c r="E16" s="1" t="s">
        <v>942</v>
      </c>
      <c r="F16" t="s">
        <v>1069</v>
      </c>
    </row>
    <row r="17" spans="1:6" ht="16.5">
      <c r="A17" s="1" t="s">
        <v>1070</v>
      </c>
      <c r="B17" t="s">
        <v>790</v>
      </c>
      <c r="C17" s="1" t="s">
        <v>304</v>
      </c>
      <c r="D17" s="9" t="s">
        <v>872</v>
      </c>
      <c r="E17" s="1" t="s">
        <v>891</v>
      </c>
      <c r="F17" t="s">
        <v>1071</v>
      </c>
    </row>
    <row r="18" spans="1:6" ht="16.5">
      <c r="A18" s="1" t="s">
        <v>285</v>
      </c>
      <c r="B18" t="s">
        <v>771</v>
      </c>
      <c r="C18" s="1" t="s">
        <v>691</v>
      </c>
      <c r="D18" s="1" t="s">
        <v>377</v>
      </c>
      <c r="E18" s="1" t="s">
        <v>909</v>
      </c>
      <c r="F18" t="s">
        <v>1072</v>
      </c>
    </row>
    <row r="19" spans="1:6" ht="16.5">
      <c r="A19" s="1" t="s">
        <v>781</v>
      </c>
      <c r="B19" t="s">
        <v>454</v>
      </c>
      <c r="C19" s="1" t="s">
        <v>449</v>
      </c>
      <c r="D19" s="1" t="s">
        <v>610</v>
      </c>
      <c r="E19" s="1" t="s">
        <v>926</v>
      </c>
      <c r="F19" s="9" t="s">
        <v>523</v>
      </c>
    </row>
    <row r="20" spans="1:6" ht="16.5">
      <c r="A20" s="1" t="s">
        <v>1073</v>
      </c>
      <c r="B20" t="s">
        <v>427</v>
      </c>
      <c r="C20" s="1" t="s">
        <v>615</v>
      </c>
      <c r="D20" s="9" t="s">
        <v>332</v>
      </c>
      <c r="E20" s="1" t="s">
        <v>944</v>
      </c>
      <c r="F20" t="s">
        <v>1074</v>
      </c>
    </row>
    <row r="21" spans="1:6" ht="16.5">
      <c r="A21" s="1" t="s">
        <v>1075</v>
      </c>
      <c r="B21" t="s">
        <v>617</v>
      </c>
      <c r="C21" s="1" t="s">
        <v>276</v>
      </c>
      <c r="D21" s="9" t="s">
        <v>503</v>
      </c>
      <c r="E21" s="1" t="s">
        <v>961</v>
      </c>
      <c r="F21" s="9" t="s">
        <v>689</v>
      </c>
    </row>
    <row r="22" spans="1:6" ht="16.5">
      <c r="A22" s="1" t="s">
        <v>286</v>
      </c>
      <c r="B22" t="s">
        <v>277</v>
      </c>
      <c r="C22" s="1" t="s">
        <v>1076</v>
      </c>
      <c r="D22" s="1" t="s">
        <v>325</v>
      </c>
      <c r="E22" s="1" t="s">
        <v>911</v>
      </c>
      <c r="F22" t="s">
        <v>950</v>
      </c>
    </row>
    <row r="23" spans="1:6" ht="16.5">
      <c r="A23"/>
      <c r="B23" t="s">
        <v>724</v>
      </c>
      <c r="C23" s="1" t="s">
        <v>1077</v>
      </c>
      <c r="D23" s="9" t="s">
        <v>526</v>
      </c>
      <c r="E23" s="1" t="s">
        <v>945</v>
      </c>
      <c r="F23" s="9" t="s">
        <v>1078</v>
      </c>
    </row>
    <row r="24" spans="1:6" ht="16.5">
      <c r="B24" t="s">
        <v>450</v>
      </c>
      <c r="C24" s="1" t="s">
        <v>1079</v>
      </c>
      <c r="D24" s="1" t="s">
        <v>352</v>
      </c>
      <c r="E24" s="1" t="s">
        <v>962</v>
      </c>
      <c r="F24" s="9" t="s">
        <v>837</v>
      </c>
    </row>
    <row r="25" spans="1:6" ht="16.5">
      <c r="B25" t="s">
        <v>1080</v>
      </c>
      <c r="C25" s="1" t="s">
        <v>614</v>
      </c>
      <c r="D25" s="1" t="s">
        <v>469</v>
      </c>
      <c r="E25" s="1" t="s">
        <v>912</v>
      </c>
      <c r="F25" t="s">
        <v>1009</v>
      </c>
    </row>
    <row r="26" spans="1:6" ht="16.5">
      <c r="B26" t="s">
        <v>679</v>
      </c>
      <c r="C26" s="1" t="s">
        <v>767</v>
      </c>
      <c r="D26" s="1" t="s">
        <v>219</v>
      </c>
      <c r="E26" s="1" t="s">
        <v>929</v>
      </c>
      <c r="F26" s="9" t="s">
        <v>395</v>
      </c>
    </row>
    <row r="27" spans="1:6" ht="16.5">
      <c r="B27" t="s">
        <v>641</v>
      </c>
      <c r="C27" s="1" t="s">
        <v>476</v>
      </c>
      <c r="D27" s="1" t="s">
        <v>244</v>
      </c>
      <c r="E27" s="1" t="s">
        <v>946</v>
      </c>
      <c r="F27" s="9" t="s">
        <v>356</v>
      </c>
    </row>
    <row r="28" spans="1:6" ht="16.5">
      <c r="B28" t="s">
        <v>479</v>
      </c>
      <c r="C28" s="1" t="s">
        <v>305</v>
      </c>
      <c r="D28" s="9" t="s">
        <v>667</v>
      </c>
      <c r="E28" s="1" t="s">
        <v>963</v>
      </c>
      <c r="F28" t="s">
        <v>1081</v>
      </c>
    </row>
    <row r="29" spans="1:6" ht="16.5">
      <c r="B29" t="s">
        <v>282</v>
      </c>
      <c r="C29" s="1" t="s">
        <v>306</v>
      </c>
      <c r="D29" s="9" t="s">
        <v>815</v>
      </c>
      <c r="E29" s="1" t="s">
        <v>980</v>
      </c>
      <c r="F29" t="s">
        <v>1082</v>
      </c>
    </row>
    <row r="30" spans="1:6" ht="16.5">
      <c r="B30" t="s">
        <v>253</v>
      </c>
      <c r="C30" s="1" t="s">
        <v>303</v>
      </c>
      <c r="D30" s="1" t="s">
        <v>742</v>
      </c>
      <c r="E30" s="1" t="s">
        <v>993</v>
      </c>
      <c r="F30" s="9" t="s">
        <v>355</v>
      </c>
    </row>
    <row r="31" spans="1:6" ht="16.5">
      <c r="B31" t="s">
        <v>281</v>
      </c>
      <c r="C31" s="1" t="s">
        <v>249</v>
      </c>
      <c r="D31" s="9" t="s">
        <v>498</v>
      </c>
      <c r="E31" s="1" t="s">
        <v>913</v>
      </c>
      <c r="F31" s="9" t="s">
        <v>831</v>
      </c>
    </row>
    <row r="32" spans="1:6" ht="16.5">
      <c r="B32" t="s">
        <v>664</v>
      </c>
      <c r="C32" s="1" t="s">
        <v>791</v>
      </c>
      <c r="D32" s="9" t="s">
        <v>809</v>
      </c>
      <c r="E32" s="1" t="s">
        <v>930</v>
      </c>
      <c r="F32" t="s">
        <v>979</v>
      </c>
    </row>
    <row r="33" spans="2:6" ht="16.5">
      <c r="B33" t="s">
        <v>812</v>
      </c>
      <c r="C33" s="1" t="s">
        <v>745</v>
      </c>
      <c r="D33" s="9" t="s">
        <v>666</v>
      </c>
      <c r="E33" s="1" t="s">
        <v>821</v>
      </c>
      <c r="F33" s="9" t="s">
        <v>684</v>
      </c>
    </row>
    <row r="34" spans="2:6" ht="16.5">
      <c r="B34" t="s">
        <v>475</v>
      </c>
      <c r="C34" s="1" t="s">
        <v>590</v>
      </c>
      <c r="D34" s="9" t="s">
        <v>789</v>
      </c>
      <c r="E34" s="1" t="s">
        <v>672</v>
      </c>
      <c r="F34" t="s">
        <v>954</v>
      </c>
    </row>
    <row r="35" spans="2:6" ht="16.5">
      <c r="B35" t="s">
        <v>309</v>
      </c>
      <c r="C35" s="1" t="s">
        <v>477</v>
      </c>
      <c r="D35" s="1" t="s">
        <v>495</v>
      </c>
      <c r="E35" s="1" t="s">
        <v>896</v>
      </c>
      <c r="F35" t="s">
        <v>1083</v>
      </c>
    </row>
    <row r="36" spans="2:6" ht="16.5">
      <c r="B36" t="s">
        <v>591</v>
      </c>
      <c r="C36" s="1" t="s">
        <v>643</v>
      </c>
      <c r="D36" s="9" t="s">
        <v>710</v>
      </c>
      <c r="E36" s="1" t="s">
        <v>1020</v>
      </c>
      <c r="F36" t="s">
        <v>1029</v>
      </c>
    </row>
    <row r="37" spans="2:6" ht="16.5">
      <c r="B37" t="s">
        <v>505</v>
      </c>
      <c r="C37" s="1" t="s">
        <v>307</v>
      </c>
      <c r="D37" s="9" t="s">
        <v>333</v>
      </c>
      <c r="E37" s="1" t="s">
        <v>760</v>
      </c>
      <c r="F37" t="s">
        <v>1084</v>
      </c>
    </row>
    <row r="38" spans="2:6" ht="16.5">
      <c r="B38" t="s">
        <v>645</v>
      </c>
      <c r="C38" s="1" t="s">
        <v>639</v>
      </c>
      <c r="D38" s="9" t="s">
        <v>334</v>
      </c>
      <c r="E38" s="1" t="s">
        <v>758</v>
      </c>
      <c r="F38" t="s">
        <v>1085</v>
      </c>
    </row>
    <row r="39" spans="2:6" ht="16.5">
      <c r="B39" t="s">
        <v>746</v>
      </c>
      <c r="C39" s="1" t="s">
        <v>788</v>
      </c>
      <c r="D39" s="9" t="s">
        <v>813</v>
      </c>
      <c r="E39" s="1" t="s">
        <v>1015</v>
      </c>
      <c r="F39" t="s">
        <v>1086</v>
      </c>
    </row>
    <row r="40" spans="2:6" ht="16.5">
      <c r="B40" t="s">
        <v>864</v>
      </c>
      <c r="C40" s="1" t="s">
        <v>472</v>
      </c>
      <c r="D40" s="9" t="s">
        <v>882</v>
      </c>
      <c r="E40" s="1" t="s">
        <v>778</v>
      </c>
      <c r="F40" t="s">
        <v>842</v>
      </c>
    </row>
    <row r="41" spans="2:6" ht="16.5">
      <c r="B41" t="s">
        <v>451</v>
      </c>
      <c r="C41" s="1" t="s">
        <v>787</v>
      </c>
      <c r="D41" s="9" t="s">
        <v>814</v>
      </c>
      <c r="E41" s="1" t="s">
        <v>780</v>
      </c>
      <c r="F41" t="s">
        <v>1087</v>
      </c>
    </row>
    <row r="42" spans="2:6" ht="16.5">
      <c r="B42" t="s">
        <v>772</v>
      </c>
      <c r="C42" s="1" t="s">
        <v>687</v>
      </c>
      <c r="D42" s="9" t="s">
        <v>330</v>
      </c>
      <c r="E42" s="1" t="s">
        <v>1088</v>
      </c>
      <c r="F42" s="9" t="s">
        <v>635</v>
      </c>
    </row>
    <row r="43" spans="2:6" ht="16.5">
      <c r="B43" t="s">
        <v>453</v>
      </c>
      <c r="C43" s="1" t="s">
        <v>530</v>
      </c>
      <c r="D43" s="9" t="s">
        <v>662</v>
      </c>
      <c r="E43" s="1" t="s">
        <v>1089</v>
      </c>
      <c r="F43" s="9" t="s">
        <v>917</v>
      </c>
    </row>
    <row r="44" spans="2:6" ht="16.5">
      <c r="B44" t="s">
        <v>595</v>
      </c>
      <c r="C44" s="1" t="s">
        <v>1090</v>
      </c>
      <c r="D44" s="9" t="s">
        <v>499</v>
      </c>
      <c r="E44" s="1" t="s">
        <v>1091</v>
      </c>
      <c r="F44" s="9" t="s">
        <v>1092</v>
      </c>
    </row>
    <row r="45" spans="2:6" ht="16.5">
      <c r="B45" t="s">
        <v>668</v>
      </c>
      <c r="C45" s="1" t="s">
        <v>1093</v>
      </c>
      <c r="D45" s="9" t="s">
        <v>810</v>
      </c>
      <c r="E45" s="1" t="s">
        <v>914</v>
      </c>
      <c r="F45" s="9" t="s">
        <v>1094</v>
      </c>
    </row>
    <row r="46" spans="2:6" ht="16.5">
      <c r="B46" t="s">
        <v>834</v>
      </c>
      <c r="C46" s="1" t="s">
        <v>1095</v>
      </c>
      <c r="D46" s="9" t="s">
        <v>717</v>
      </c>
      <c r="E46" s="1" t="s">
        <v>1003</v>
      </c>
      <c r="F46" t="s">
        <v>1096</v>
      </c>
    </row>
    <row r="47" spans="2:6" ht="16.5">
      <c r="B47" t="s">
        <v>613</v>
      </c>
      <c r="C47" s="1" t="s">
        <v>1097</v>
      </c>
      <c r="D47" s="1" t="s">
        <v>829</v>
      </c>
      <c r="E47" s="1" t="s">
        <v>1010</v>
      </c>
      <c r="F47" t="s">
        <v>1098</v>
      </c>
    </row>
    <row r="48" spans="2:6" ht="16.5">
      <c r="B48" s="1" t="s">
        <v>1099</v>
      </c>
      <c r="C48" s="1" t="s">
        <v>1100</v>
      </c>
      <c r="D48" s="1" t="s">
        <v>678</v>
      </c>
      <c r="E48" s="1" t="s">
        <v>947</v>
      </c>
      <c r="F48" t="s">
        <v>1008</v>
      </c>
    </row>
    <row r="49" spans="2:6" ht="16.5">
      <c r="B49" t="s">
        <v>254</v>
      </c>
      <c r="C49" s="1" t="s">
        <v>1101</v>
      </c>
      <c r="D49" s="1" t="s">
        <v>1102</v>
      </c>
      <c r="E49" s="1" t="s">
        <v>1103</v>
      </c>
      <c r="F49" t="s">
        <v>1104</v>
      </c>
    </row>
    <row r="50" spans="2:6" ht="16.5">
      <c r="B50" t="s">
        <v>619</v>
      </c>
      <c r="C50" s="1" t="s">
        <v>338</v>
      </c>
      <c r="D50" s="1" t="s">
        <v>1105</v>
      </c>
      <c r="E50" s="1" t="s">
        <v>801</v>
      </c>
      <c r="F50" s="9" t="s">
        <v>663</v>
      </c>
    </row>
    <row r="51" spans="2:6" ht="16.5">
      <c r="B51" s="1" t="s">
        <v>630</v>
      </c>
      <c r="C51" s="1" t="s">
        <v>693</v>
      </c>
      <c r="D51" s="1" t="s">
        <v>1106</v>
      </c>
      <c r="E51" s="1" t="s">
        <v>898</v>
      </c>
      <c r="F51" s="9" t="s">
        <v>688</v>
      </c>
    </row>
    <row r="52" spans="2:6" ht="16.5">
      <c r="B52" s="1" t="s">
        <v>1107</v>
      </c>
      <c r="C52" s="1" t="s">
        <v>838</v>
      </c>
      <c r="D52" s="1" t="s">
        <v>1108</v>
      </c>
      <c r="E52" s="1" t="s">
        <v>931</v>
      </c>
      <c r="F52" s="9" t="s">
        <v>528</v>
      </c>
    </row>
    <row r="53" spans="2:6" ht="16.5">
      <c r="B53" s="1" t="s">
        <v>1109</v>
      </c>
      <c r="C53" s="1" t="s">
        <v>818</v>
      </c>
      <c r="D53" s="1" t="s">
        <v>340</v>
      </c>
      <c r="E53" s="1" t="s">
        <v>948</v>
      </c>
      <c r="F53" t="s">
        <v>991</v>
      </c>
    </row>
    <row r="54" spans="2:6" ht="16.5">
      <c r="B54" s="1" t="s">
        <v>1110</v>
      </c>
      <c r="C54" s="1" t="s">
        <v>792</v>
      </c>
      <c r="D54" s="1" t="s">
        <v>1111</v>
      </c>
      <c r="E54" s="1" t="s">
        <v>799</v>
      </c>
      <c r="F54" s="9" t="s">
        <v>529</v>
      </c>
    </row>
    <row r="55" spans="2:6" ht="16.5">
      <c r="B55" s="1" t="s">
        <v>1112</v>
      </c>
      <c r="C55" s="1" t="s">
        <v>308</v>
      </c>
      <c r="D55" s="1" t="s">
        <v>1113</v>
      </c>
      <c r="E55" s="1" t="s">
        <v>949</v>
      </c>
      <c r="F55" s="9" t="s">
        <v>521</v>
      </c>
    </row>
    <row r="56" spans="2:6" ht="16.5">
      <c r="B56" s="1" t="s">
        <v>1114</v>
      </c>
      <c r="C56" s="1" t="s">
        <v>644</v>
      </c>
      <c r="D56" s="1" t="s">
        <v>1115</v>
      </c>
      <c r="E56" s="1" t="s">
        <v>964</v>
      </c>
      <c r="F56" s="9" t="s">
        <v>685</v>
      </c>
    </row>
    <row r="57" spans="2:6" ht="16.5">
      <c r="B57" s="1" t="s">
        <v>1116</v>
      </c>
      <c r="C57" s="1" t="s">
        <v>480</v>
      </c>
      <c r="D57" s="1" t="s">
        <v>1117</v>
      </c>
      <c r="E57" s="1" t="s">
        <v>649</v>
      </c>
      <c r="F57" s="9" t="s">
        <v>1118</v>
      </c>
    </row>
    <row r="58" spans="2:6" ht="16.5">
      <c r="B58" s="1" t="s">
        <v>1119</v>
      </c>
      <c r="C58" s="1" t="s">
        <v>310</v>
      </c>
      <c r="D58" s="1" t="s">
        <v>1120</v>
      </c>
      <c r="E58" s="1" t="s">
        <v>886</v>
      </c>
      <c r="F58" t="s">
        <v>365</v>
      </c>
    </row>
    <row r="59" spans="2:6" ht="16.5">
      <c r="B59" s="1" t="s">
        <v>1121</v>
      </c>
      <c r="C59" s="1" t="s">
        <v>817</v>
      </c>
      <c r="D59" s="1" t="s">
        <v>1122</v>
      </c>
      <c r="E59" s="1" t="s">
        <v>904</v>
      </c>
      <c r="F59" t="s">
        <v>1123</v>
      </c>
    </row>
    <row r="60" spans="2:6" ht="16.5">
      <c r="B60" s="1" t="s">
        <v>1124</v>
      </c>
      <c r="C60" s="1" t="s">
        <v>646</v>
      </c>
      <c r="D60" s="1" t="s">
        <v>1125</v>
      </c>
      <c r="E60" s="1" t="s">
        <v>921</v>
      </c>
      <c r="F60" t="s">
        <v>1126</v>
      </c>
    </row>
    <row r="61" spans="2:6" ht="16.5">
      <c r="B61" s="1" t="s">
        <v>1127</v>
      </c>
      <c r="C61" s="1" t="s">
        <v>507</v>
      </c>
      <c r="D61" s="1" t="s">
        <v>1128</v>
      </c>
      <c r="E61" s="1" t="s">
        <v>938</v>
      </c>
      <c r="F61" t="s">
        <v>1129</v>
      </c>
    </row>
    <row r="62" spans="2:6" ht="16.5">
      <c r="B62" s="1" t="s">
        <v>313</v>
      </c>
      <c r="C62" s="1" t="s">
        <v>1130</v>
      </c>
      <c r="D62" s="1" t="s">
        <v>1131</v>
      </c>
      <c r="E62" s="1" t="s">
        <v>1132</v>
      </c>
      <c r="F62" t="s">
        <v>960</v>
      </c>
    </row>
    <row r="63" spans="2:6" ht="16.5">
      <c r="B63" s="1" t="s">
        <v>1133</v>
      </c>
      <c r="C63" s="1" t="s">
        <v>478</v>
      </c>
      <c r="D63" s="1" t="s">
        <v>1134</v>
      </c>
      <c r="E63" s="1" t="s">
        <v>823</v>
      </c>
      <c r="F63" s="9" t="s">
        <v>725</v>
      </c>
    </row>
    <row r="64" spans="2:6" ht="16.5">
      <c r="B64" s="1" t="s">
        <v>1135</v>
      </c>
      <c r="C64" s="1" t="s">
        <v>793</v>
      </c>
      <c r="D64" s="1" t="s">
        <v>1136</v>
      </c>
      <c r="E64" s="1" t="s">
        <v>600</v>
      </c>
      <c r="F64" s="9" t="s">
        <v>500</v>
      </c>
    </row>
    <row r="65" spans="2:6" ht="16.5">
      <c r="B65" s="1" t="s">
        <v>1137</v>
      </c>
      <c r="C65" s="1" t="s">
        <v>347</v>
      </c>
      <c r="D65" s="1" t="s">
        <v>1138</v>
      </c>
      <c r="E65" s="1" t="s">
        <v>756</v>
      </c>
      <c r="F65" s="9" t="s">
        <v>357</v>
      </c>
    </row>
    <row r="66" spans="2:6" ht="16.5">
      <c r="B66" s="1" t="s">
        <v>1139</v>
      </c>
      <c r="C66" s="1" t="s">
        <v>1140</v>
      </c>
      <c r="D66" s="1" t="s">
        <v>820</v>
      </c>
      <c r="E66" s="10" t="s">
        <v>885</v>
      </c>
      <c r="F66" s="9" t="s">
        <v>1141</v>
      </c>
    </row>
    <row r="67" spans="2:6" ht="16.5">
      <c r="B67" s="1" t="s">
        <v>290</v>
      </c>
      <c r="C67" s="1" t="s">
        <v>1142</v>
      </c>
      <c r="D67" s="1" t="s">
        <v>1143</v>
      </c>
      <c r="E67" s="1" t="s">
        <v>903</v>
      </c>
      <c r="F67" s="9" t="s">
        <v>1144</v>
      </c>
    </row>
    <row r="68" spans="2:6" ht="16.5">
      <c r="B68" s="1" t="s">
        <v>1145</v>
      </c>
      <c r="C68" s="1" t="s">
        <v>1146</v>
      </c>
      <c r="D68" s="1" t="s">
        <v>1147</v>
      </c>
      <c r="E68" s="1" t="s">
        <v>920</v>
      </c>
      <c r="F68" t="s">
        <v>1148</v>
      </c>
    </row>
    <row r="69" spans="2:6" ht="16.5">
      <c r="B69" s="1" t="s">
        <v>1149</v>
      </c>
      <c r="C69" s="1" t="s">
        <v>1150</v>
      </c>
      <c r="D69" s="1" t="s">
        <v>1151</v>
      </c>
      <c r="E69" s="1" t="s">
        <v>937</v>
      </c>
      <c r="F69" t="s">
        <v>1152</v>
      </c>
    </row>
    <row r="70" spans="2:6" ht="16.5">
      <c r="B70" s="1" t="s">
        <v>1153</v>
      </c>
      <c r="C70" s="1" t="s">
        <v>1154</v>
      </c>
      <c r="D70" s="1" t="s">
        <v>1155</v>
      </c>
      <c r="F70" t="s">
        <v>986</v>
      </c>
    </row>
    <row r="71" spans="2:6" ht="16.5">
      <c r="B71" s="1" t="s">
        <v>459</v>
      </c>
      <c r="C71" s="1" t="s">
        <v>261</v>
      </c>
      <c r="D71" s="1" t="s">
        <v>1156</v>
      </c>
      <c r="E71" s="1"/>
      <c r="F71" s="9" t="s">
        <v>1157</v>
      </c>
    </row>
    <row r="72" spans="2:6" ht="16.5">
      <c r="B72" s="1" t="s">
        <v>484</v>
      </c>
      <c r="C72" s="1" t="s">
        <v>258</v>
      </c>
      <c r="D72" s="1" t="s">
        <v>1158</v>
      </c>
      <c r="F72" s="9" t="s">
        <v>1159</v>
      </c>
    </row>
    <row r="73" spans="2:6" ht="16.5">
      <c r="B73" s="1" t="s">
        <v>1160</v>
      </c>
      <c r="C73" s="1" t="s">
        <v>1161</v>
      </c>
      <c r="D73" s="9" t="s">
        <v>669</v>
      </c>
      <c r="F73" s="9" t="s">
        <v>1162</v>
      </c>
    </row>
    <row r="74" spans="2:6" ht="16.5">
      <c r="B74" s="1" t="s">
        <v>1163</v>
      </c>
      <c r="C74" s="1" t="s">
        <v>1164</v>
      </c>
      <c r="D74" s="9" t="s">
        <v>506</v>
      </c>
      <c r="F74" t="s">
        <v>1165</v>
      </c>
    </row>
    <row r="75" spans="2:6" ht="16.5">
      <c r="B75" s="1" t="s">
        <v>1166</v>
      </c>
      <c r="C75" s="1" t="s">
        <v>1167</v>
      </c>
      <c r="D75" s="9" t="s">
        <v>337</v>
      </c>
      <c r="F75" t="s">
        <v>1025</v>
      </c>
    </row>
    <row r="76" spans="2:6" ht="16.5">
      <c r="B76" s="1" t="s">
        <v>1168</v>
      </c>
      <c r="C76" s="1" t="s">
        <v>433</v>
      </c>
      <c r="D76" s="9" t="s">
        <v>372</v>
      </c>
      <c r="F76" t="s">
        <v>1169</v>
      </c>
    </row>
    <row r="77" spans="2:6" ht="16.5">
      <c r="B77" s="1" t="s">
        <v>1170</v>
      </c>
      <c r="C77" s="1" t="s">
        <v>755</v>
      </c>
      <c r="D77" s="9" t="s">
        <v>1171</v>
      </c>
      <c r="F77" t="s">
        <v>611</v>
      </c>
    </row>
    <row r="78" spans="2:6" ht="16.5">
      <c r="B78" s="1" t="s">
        <v>1172</v>
      </c>
      <c r="C78" s="1" t="s">
        <v>798</v>
      </c>
      <c r="D78" s="9" t="s">
        <v>1173</v>
      </c>
      <c r="F78" s="9" t="s">
        <v>354</v>
      </c>
    </row>
    <row r="79" spans="2:6" ht="16.5">
      <c r="B79" s="1" t="s">
        <v>1174</v>
      </c>
      <c r="C79" s="1" t="s">
        <v>1175</v>
      </c>
      <c r="D79" s="9" t="s">
        <v>1176</v>
      </c>
      <c r="F79" s="9" t="s">
        <v>1177</v>
      </c>
    </row>
    <row r="80" spans="2:6" ht="16.5">
      <c r="B80" s="1" t="s">
        <v>1178</v>
      </c>
      <c r="C80" s="1" t="s">
        <v>263</v>
      </c>
      <c r="D80" s="9" t="s">
        <v>1179</v>
      </c>
      <c r="F80" t="s">
        <v>1180</v>
      </c>
    </row>
    <row r="81" spans="2:6" ht="16.5">
      <c r="B81" s="1" t="s">
        <v>1181</v>
      </c>
      <c r="C81" s="1" t="s">
        <v>259</v>
      </c>
      <c r="D81" s="1" t="s">
        <v>682</v>
      </c>
      <c r="F81" t="s">
        <v>1019</v>
      </c>
    </row>
    <row r="82" spans="2:6" ht="16.5">
      <c r="B82" s="1" t="s">
        <v>1182</v>
      </c>
      <c r="C82" s="1" t="s">
        <v>1183</v>
      </c>
      <c r="D82" s="9" t="s">
        <v>839</v>
      </c>
      <c r="E82" s="1"/>
      <c r="F82" s="9" t="s">
        <v>271</v>
      </c>
    </row>
    <row r="83" spans="2:6" ht="16.5">
      <c r="B83" s="1" t="s">
        <v>1184</v>
      </c>
      <c r="C83" s="1" t="s">
        <v>1185</v>
      </c>
      <c r="D83" s="1" t="s">
        <v>720</v>
      </c>
      <c r="E83" s="1"/>
      <c r="F83" t="s">
        <v>939</v>
      </c>
    </row>
    <row r="84" spans="2:6" ht="16.5">
      <c r="B84" s="1" t="s">
        <v>1186</v>
      </c>
      <c r="C84" s="1" t="s">
        <v>777</v>
      </c>
      <c r="D84" s="1" t="s">
        <v>851</v>
      </c>
      <c r="F84" t="s">
        <v>998</v>
      </c>
    </row>
    <row r="85" spans="2:6" ht="16.5">
      <c r="B85" s="1" t="s">
        <v>291</v>
      </c>
      <c r="C85" s="1" t="s">
        <v>1187</v>
      </c>
      <c r="D85" s="9" t="s">
        <v>860</v>
      </c>
      <c r="F85" t="s">
        <v>975</v>
      </c>
    </row>
    <row r="86" spans="2:6" ht="16.5">
      <c r="B86" s="1" t="s">
        <v>1188</v>
      </c>
      <c r="C86" s="1" t="s">
        <v>432</v>
      </c>
      <c r="D86" s="1" t="s">
        <v>1189</v>
      </c>
      <c r="E86" s="1"/>
      <c r="F86" t="s">
        <v>955</v>
      </c>
    </row>
    <row r="87" spans="2:6" ht="16.5">
      <c r="B87" s="1" t="s">
        <v>1190</v>
      </c>
      <c r="C87" s="1" t="s">
        <v>1191</v>
      </c>
      <c r="D87" s="9" t="s">
        <v>558</v>
      </c>
      <c r="F87" s="9" t="s">
        <v>1192</v>
      </c>
    </row>
    <row r="88" spans="2:6" ht="16.5">
      <c r="B88" s="1" t="s">
        <v>1193</v>
      </c>
      <c r="C88" s="1" t="s">
        <v>1194</v>
      </c>
      <c r="D88"/>
      <c r="F88" t="s">
        <v>981</v>
      </c>
    </row>
    <row r="89" spans="2:6" ht="16.5">
      <c r="B89" s="1" t="s">
        <v>1195</v>
      </c>
      <c r="C89" s="1" t="s">
        <v>1196</v>
      </c>
      <c r="D89"/>
      <c r="F89" t="s">
        <v>1197</v>
      </c>
    </row>
    <row r="90" spans="2:6" ht="16.5">
      <c r="B90" s="1" t="s">
        <v>1198</v>
      </c>
      <c r="C90" s="1" t="s">
        <v>1199</v>
      </c>
      <c r="D90"/>
      <c r="F90" t="s">
        <v>1200</v>
      </c>
    </row>
    <row r="91" spans="2:6" ht="16.5">
      <c r="B91" s="1" t="s">
        <v>1201</v>
      </c>
      <c r="C91" s="1" t="s">
        <v>1202</v>
      </c>
      <c r="D91"/>
      <c r="F91" t="s">
        <v>1203</v>
      </c>
    </row>
    <row r="92" spans="2:6" ht="16.5">
      <c r="B92" s="1" t="s">
        <v>1204</v>
      </c>
      <c r="F92" s="9" t="s">
        <v>811</v>
      </c>
    </row>
    <row r="93" spans="2:6" ht="16.5">
      <c r="B93" s="1" t="s">
        <v>1205</v>
      </c>
      <c r="F93" s="9" t="s">
        <v>888</v>
      </c>
    </row>
    <row r="94" spans="2:6" ht="16.5">
      <c r="B94" s="1" t="s">
        <v>1206</v>
      </c>
      <c r="F94" s="9" t="s">
        <v>835</v>
      </c>
    </row>
    <row r="95" spans="2:6" ht="16.5">
      <c r="B95" t="s">
        <v>598</v>
      </c>
      <c r="F95" s="9" t="s">
        <v>836</v>
      </c>
    </row>
    <row r="96" spans="2:6" ht="16.5">
      <c r="B96" t="s">
        <v>1207</v>
      </c>
      <c r="F96" s="9" t="s">
        <v>690</v>
      </c>
    </row>
    <row r="97" spans="2:6" ht="16.5">
      <c r="B97" t="s">
        <v>647</v>
      </c>
      <c r="F97" s="9" t="s">
        <v>1208</v>
      </c>
    </row>
    <row r="98" spans="2:6" ht="16.5">
      <c r="B98" s="1" t="s">
        <v>1209</v>
      </c>
      <c r="F98" s="9" t="s">
        <v>1210</v>
      </c>
    </row>
    <row r="99" spans="2:6" ht="16.5">
      <c r="B99" t="s">
        <v>429</v>
      </c>
      <c r="F99" s="9" t="s">
        <v>1211</v>
      </c>
    </row>
    <row r="100" spans="2:6" ht="16.5">
      <c r="B100" t="s">
        <v>455</v>
      </c>
      <c r="F100" t="s">
        <v>965</v>
      </c>
    </row>
    <row r="101" spans="2:6" ht="16.5">
      <c r="B101" t="s">
        <v>257</v>
      </c>
      <c r="F101" t="s">
        <v>1212</v>
      </c>
    </row>
    <row r="102" spans="2:6" ht="16.5">
      <c r="B102" t="s">
        <v>284</v>
      </c>
      <c r="F102" t="s">
        <v>1213</v>
      </c>
    </row>
    <row r="103" spans="2:6" ht="16.5">
      <c r="B103" s="1" t="s">
        <v>1214</v>
      </c>
      <c r="F103" t="s">
        <v>695</v>
      </c>
    </row>
    <row r="104" spans="2:6">
      <c r="B104" t="s">
        <v>1215</v>
      </c>
      <c r="F104" s="9" t="s">
        <v>583</v>
      </c>
    </row>
    <row r="105" spans="2:6">
      <c r="B105" t="s">
        <v>430</v>
      </c>
      <c r="F105" s="9" t="s">
        <v>391</v>
      </c>
    </row>
    <row r="106" spans="2:6">
      <c r="B106" t="s">
        <v>456</v>
      </c>
      <c r="F106" s="9" t="s">
        <v>517</v>
      </c>
    </row>
    <row r="107" spans="2:6">
      <c r="B107" t="s">
        <v>293</v>
      </c>
    </row>
    <row r="108" spans="2:6">
      <c r="B108" t="s">
        <v>320</v>
      </c>
    </row>
    <row r="109" spans="2:6">
      <c r="B109" t="s">
        <v>256</v>
      </c>
    </row>
    <row r="110" spans="2:6">
      <c r="B110" t="s">
        <v>283</v>
      </c>
    </row>
    <row r="111" spans="2:6">
      <c r="B111" t="s">
        <v>597</v>
      </c>
    </row>
    <row r="112" spans="2:6">
      <c r="B112" t="s">
        <v>621</v>
      </c>
    </row>
    <row r="113" spans="2:2">
      <c r="B113" t="s">
        <v>775</v>
      </c>
    </row>
    <row r="114" spans="2:2">
      <c r="B114" t="s">
        <v>796</v>
      </c>
    </row>
    <row r="115" spans="2:2">
      <c r="B115" t="s">
        <v>774</v>
      </c>
    </row>
    <row r="116" spans="2:2">
      <c r="B116" t="s">
        <v>795</v>
      </c>
    </row>
    <row r="117" spans="2:2">
      <c r="B117" t="s">
        <v>816</v>
      </c>
    </row>
  </sheetData>
  <sortState ref="A4:A23">
    <sortCondition ref="A3:A23"/>
  </sortState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B2:P73"/>
  <sheetViews>
    <sheetView workbookViewId="0"/>
  </sheetViews>
  <sheetFormatPr defaultRowHeight="14.25"/>
  <cols>
    <col min="1" max="1" width="2.25" customWidth="1"/>
    <col min="2" max="2" width="20.5" customWidth="1"/>
    <col min="3" max="4" width="14.25" customWidth="1"/>
    <col min="5" max="5" width="21.25" customWidth="1"/>
    <col min="6" max="6" width="14.625" customWidth="1"/>
    <col min="7" max="7" width="18.125" customWidth="1"/>
    <col min="8" max="8" width="13" customWidth="1"/>
    <col min="9" max="9" width="22.875" customWidth="1"/>
    <col min="10" max="10" width="16.25" customWidth="1"/>
    <col min="11" max="11" width="20.625" customWidth="1"/>
    <col min="12" max="12" width="13.25" customWidth="1"/>
    <col min="13" max="13" width="26.5" customWidth="1"/>
    <col min="14" max="14" width="15.625" customWidth="1"/>
    <col min="15" max="15" width="15.75" customWidth="1"/>
    <col min="16" max="16" width="24.75" customWidth="1"/>
  </cols>
  <sheetData>
    <row r="2" spans="2:2">
      <c r="B2" t="s">
        <v>1216</v>
      </c>
    </row>
    <row r="3" spans="2:2">
      <c r="B3" t="s">
        <v>1217</v>
      </c>
    </row>
    <row r="5" spans="2:2">
      <c r="B5" t="s">
        <v>1218</v>
      </c>
    </row>
    <row r="6" spans="2:2">
      <c r="B6" t="s">
        <v>1219</v>
      </c>
    </row>
    <row r="8" spans="2:2">
      <c r="B8" t="s">
        <v>1220</v>
      </c>
    </row>
    <row r="9" spans="2:2">
      <c r="B9" t="s">
        <v>1221</v>
      </c>
    </row>
    <row r="10" spans="2:2">
      <c r="B10" t="s">
        <v>1222</v>
      </c>
    </row>
    <row r="11" spans="2:2">
      <c r="B11" t="s">
        <v>1223</v>
      </c>
    </row>
    <row r="12" spans="2:2">
      <c r="B12" t="s">
        <v>1224</v>
      </c>
    </row>
    <row r="13" spans="2:2">
      <c r="B13" t="s">
        <v>1225</v>
      </c>
    </row>
    <row r="14" spans="2:2">
      <c r="B14" t="s">
        <v>1226</v>
      </c>
    </row>
    <row r="15" spans="2:2">
      <c r="B15" t="s">
        <v>1227</v>
      </c>
    </row>
    <row r="17" spans="2:16">
      <c r="B17" t="s">
        <v>1228</v>
      </c>
      <c r="C17" t="s">
        <v>1229</v>
      </c>
      <c r="D17" t="s">
        <v>1230</v>
      </c>
      <c r="E17" t="s">
        <v>1231</v>
      </c>
      <c r="F17" t="s">
        <v>1223</v>
      </c>
      <c r="G17" t="s">
        <v>1224</v>
      </c>
      <c r="H17" t="s">
        <v>1232</v>
      </c>
      <c r="I17" t="s">
        <v>1233</v>
      </c>
    </row>
    <row r="18" spans="2:16">
      <c r="B18" t="s">
        <v>1234</v>
      </c>
      <c r="C18" t="s">
        <v>1235</v>
      </c>
      <c r="D18" t="s">
        <v>1235</v>
      </c>
      <c r="E18" t="s">
        <v>1235</v>
      </c>
      <c r="F18" t="s">
        <v>1236</v>
      </c>
      <c r="G18" t="s">
        <v>1237</v>
      </c>
      <c r="H18" t="s">
        <v>1238</v>
      </c>
      <c r="I18" t="s">
        <v>1239</v>
      </c>
    </row>
    <row r="19" spans="2:16">
      <c r="B19" t="s">
        <v>1240</v>
      </c>
      <c r="C19" t="s">
        <v>1241</v>
      </c>
      <c r="D19" t="s">
        <v>1242</v>
      </c>
      <c r="E19" t="s">
        <v>1243</v>
      </c>
      <c r="F19" t="s">
        <v>1244</v>
      </c>
      <c r="G19" t="s">
        <v>1245</v>
      </c>
      <c r="H19" t="s">
        <v>1246</v>
      </c>
      <c r="I19" t="s">
        <v>1247</v>
      </c>
    </row>
    <row r="20" spans="2:16">
      <c r="B20" t="s">
        <v>1248</v>
      </c>
      <c r="C20" t="s">
        <v>1249</v>
      </c>
      <c r="D20" t="s">
        <v>1249</v>
      </c>
      <c r="E20" t="s">
        <v>1249</v>
      </c>
      <c r="F20" t="s">
        <v>1250</v>
      </c>
      <c r="G20" t="s">
        <v>1251</v>
      </c>
      <c r="H20" t="s">
        <v>1252</v>
      </c>
      <c r="I20" t="s">
        <v>1253</v>
      </c>
      <c r="O20" t="s">
        <v>1232</v>
      </c>
      <c r="P20" t="s">
        <v>1233</v>
      </c>
    </row>
    <row r="21" spans="2:16">
      <c r="C21" t="s">
        <v>1062</v>
      </c>
      <c r="D21" t="s">
        <v>1062</v>
      </c>
      <c r="E21" t="s">
        <v>1062</v>
      </c>
      <c r="F21" t="s">
        <v>1254</v>
      </c>
      <c r="G21" t="s">
        <v>1255</v>
      </c>
      <c r="H21" t="s">
        <v>1256</v>
      </c>
      <c r="I21" t="s">
        <v>1257</v>
      </c>
      <c r="O21" t="s">
        <v>1238</v>
      </c>
      <c r="P21" t="s">
        <v>1239</v>
      </c>
    </row>
    <row r="22" spans="2:16">
      <c r="C22" t="s">
        <v>1248</v>
      </c>
      <c r="D22" t="s">
        <v>1248</v>
      </c>
      <c r="E22" t="s">
        <v>1248</v>
      </c>
      <c r="F22" t="s">
        <v>1258</v>
      </c>
      <c r="G22" t="s">
        <v>1259</v>
      </c>
      <c r="H22" t="s">
        <v>1260</v>
      </c>
      <c r="O22" t="s">
        <v>1246</v>
      </c>
      <c r="P22" t="s">
        <v>1247</v>
      </c>
    </row>
    <row r="23" spans="2:16">
      <c r="F23" t="s">
        <v>1261</v>
      </c>
      <c r="G23" t="s">
        <v>1262</v>
      </c>
      <c r="H23" t="s">
        <v>1263</v>
      </c>
      <c r="O23" t="s">
        <v>1252</v>
      </c>
      <c r="P23" t="s">
        <v>1253</v>
      </c>
    </row>
    <row r="24" spans="2:16">
      <c r="G24" t="s">
        <v>1264</v>
      </c>
      <c r="H24" t="s">
        <v>1257</v>
      </c>
      <c r="O24" t="s">
        <v>1256</v>
      </c>
      <c r="P24" t="s">
        <v>1257</v>
      </c>
    </row>
    <row r="25" spans="2:16">
      <c r="G25" t="s">
        <v>1265</v>
      </c>
      <c r="O25" t="s">
        <v>1260</v>
      </c>
    </row>
    <row r="26" spans="2:16">
      <c r="G26" t="s">
        <v>1266</v>
      </c>
      <c r="O26" t="s">
        <v>1263</v>
      </c>
    </row>
    <row r="27" spans="2:16">
      <c r="G27" t="s">
        <v>1257</v>
      </c>
      <c r="O27" t="s">
        <v>1257</v>
      </c>
    </row>
    <row r="29" spans="2:16">
      <c r="B29" t="s">
        <v>1267</v>
      </c>
      <c r="C29" t="s">
        <v>1268</v>
      </c>
      <c r="D29" t="s">
        <v>1235</v>
      </c>
      <c r="E29" t="s">
        <v>1236</v>
      </c>
      <c r="F29" t="s">
        <v>1237</v>
      </c>
      <c r="G29" t="s">
        <v>1238</v>
      </c>
      <c r="H29" t="s">
        <v>1239</v>
      </c>
      <c r="I29" t="s">
        <v>1269</v>
      </c>
      <c r="J29" t="s">
        <v>1270</v>
      </c>
      <c r="K29" t="s">
        <v>1271</v>
      </c>
      <c r="L29" t="s">
        <v>1272</v>
      </c>
      <c r="M29" t="s">
        <v>1244</v>
      </c>
      <c r="N29" t="s">
        <v>1273</v>
      </c>
      <c r="O29" t="s">
        <v>1274</v>
      </c>
    </row>
    <row r="30" spans="2:16">
      <c r="B30" t="s">
        <v>1275</v>
      </c>
      <c r="C30" t="s">
        <v>1275</v>
      </c>
      <c r="D30" t="s">
        <v>1275</v>
      </c>
      <c r="E30" t="s">
        <v>1275</v>
      </c>
      <c r="F30" t="s">
        <v>1275</v>
      </c>
      <c r="G30" t="s">
        <v>1275</v>
      </c>
      <c r="H30" t="s">
        <v>1275</v>
      </c>
      <c r="I30" t="s">
        <v>1276</v>
      </c>
      <c r="J30" t="s">
        <v>1277</v>
      </c>
      <c r="K30" t="s">
        <v>1278</v>
      </c>
      <c r="L30" t="s">
        <v>1279</v>
      </c>
      <c r="M30" t="s">
        <v>1280</v>
      </c>
      <c r="N30" t="s">
        <v>1281</v>
      </c>
      <c r="O30" t="s">
        <v>1281</v>
      </c>
    </row>
    <row r="31" spans="2:16">
      <c r="B31" t="s">
        <v>1282</v>
      </c>
      <c r="C31" t="s">
        <v>1283</v>
      </c>
      <c r="D31" t="s">
        <v>1284</v>
      </c>
      <c r="E31" t="s">
        <v>1284</v>
      </c>
      <c r="F31" t="s">
        <v>1284</v>
      </c>
      <c r="G31" t="s">
        <v>1284</v>
      </c>
      <c r="H31" t="s">
        <v>1284</v>
      </c>
      <c r="I31" t="s">
        <v>1285</v>
      </c>
      <c r="J31" t="s">
        <v>1286</v>
      </c>
      <c r="K31" t="s">
        <v>1287</v>
      </c>
      <c r="L31" t="s">
        <v>1288</v>
      </c>
      <c r="M31" t="s">
        <v>1289</v>
      </c>
      <c r="N31" t="s">
        <v>1288</v>
      </c>
      <c r="O31" t="s">
        <v>1290</v>
      </c>
    </row>
    <row r="32" spans="2:16">
      <c r="B32" t="s">
        <v>1291</v>
      </c>
      <c r="C32" t="s">
        <v>1292</v>
      </c>
      <c r="D32" t="s">
        <v>1293</v>
      </c>
      <c r="E32" t="s">
        <v>1293</v>
      </c>
      <c r="F32" t="s">
        <v>1293</v>
      </c>
      <c r="G32" t="s">
        <v>1293</v>
      </c>
      <c r="H32" t="s">
        <v>1293</v>
      </c>
      <c r="I32" t="s">
        <v>1294</v>
      </c>
      <c r="J32" t="s">
        <v>1295</v>
      </c>
      <c r="K32" t="s">
        <v>1296</v>
      </c>
      <c r="L32" t="s">
        <v>1297</v>
      </c>
      <c r="M32" t="s">
        <v>1298</v>
      </c>
      <c r="N32" t="s">
        <v>1299</v>
      </c>
      <c r="O32" t="s">
        <v>1300</v>
      </c>
    </row>
    <row r="33" spans="3:15">
      <c r="C33" t="s">
        <v>1301</v>
      </c>
      <c r="D33" t="s">
        <v>1302</v>
      </c>
      <c r="E33" t="s">
        <v>1302</v>
      </c>
      <c r="F33" t="s">
        <v>1302</v>
      </c>
      <c r="G33" t="s">
        <v>1302</v>
      </c>
      <c r="H33" t="s">
        <v>1302</v>
      </c>
      <c r="I33" t="s">
        <v>1303</v>
      </c>
      <c r="J33" t="s">
        <v>1304</v>
      </c>
      <c r="K33" t="s">
        <v>1305</v>
      </c>
      <c r="L33" t="s">
        <v>1299</v>
      </c>
      <c r="N33" t="s">
        <v>1306</v>
      </c>
      <c r="O33" t="s">
        <v>1307</v>
      </c>
    </row>
    <row r="34" spans="3:15">
      <c r="C34" t="s">
        <v>1293</v>
      </c>
      <c r="D34" t="s">
        <v>1308</v>
      </c>
      <c r="E34" t="s">
        <v>1308</v>
      </c>
      <c r="F34" t="s">
        <v>1308</v>
      </c>
      <c r="G34" t="s">
        <v>1308</v>
      </c>
      <c r="H34" t="s">
        <v>1308</v>
      </c>
      <c r="I34" t="s">
        <v>1309</v>
      </c>
      <c r="J34" t="s">
        <v>1310</v>
      </c>
      <c r="K34" t="s">
        <v>1311</v>
      </c>
      <c r="L34" t="s">
        <v>1312</v>
      </c>
      <c r="M34" t="s">
        <v>1250</v>
      </c>
      <c r="N34" t="s">
        <v>1297</v>
      </c>
      <c r="O34" t="s">
        <v>1313</v>
      </c>
    </row>
    <row r="35" spans="3:15">
      <c r="C35" t="s">
        <v>1302</v>
      </c>
      <c r="D35" t="s">
        <v>1314</v>
      </c>
      <c r="E35" t="s">
        <v>1314</v>
      </c>
      <c r="F35" t="s">
        <v>1314</v>
      </c>
      <c r="G35" t="s">
        <v>1314</v>
      </c>
      <c r="H35" t="s">
        <v>1314</v>
      </c>
      <c r="I35" t="s">
        <v>1315</v>
      </c>
      <c r="J35" t="s">
        <v>1316</v>
      </c>
      <c r="K35" t="s">
        <v>1317</v>
      </c>
      <c r="L35" t="s">
        <v>1302</v>
      </c>
      <c r="M35" t="s">
        <v>1280</v>
      </c>
      <c r="N35" t="s">
        <v>1312</v>
      </c>
      <c r="O35" t="s">
        <v>1308</v>
      </c>
    </row>
    <row r="36" spans="3:15">
      <c r="C36" t="s">
        <v>1308</v>
      </c>
      <c r="D36" t="s">
        <v>1318</v>
      </c>
      <c r="E36" t="s">
        <v>1318</v>
      </c>
      <c r="F36" t="s">
        <v>1318</v>
      </c>
      <c r="M36" t="s">
        <v>1319</v>
      </c>
      <c r="N36" t="s">
        <v>1320</v>
      </c>
    </row>
    <row r="37" spans="3:15">
      <c r="C37" t="s">
        <v>1321</v>
      </c>
      <c r="I37" t="s">
        <v>1322</v>
      </c>
      <c r="J37" t="s">
        <v>1323</v>
      </c>
      <c r="K37" t="s">
        <v>1324</v>
      </c>
      <c r="L37" t="s">
        <v>1325</v>
      </c>
      <c r="M37" t="s">
        <v>1298</v>
      </c>
      <c r="N37" t="s">
        <v>1326</v>
      </c>
      <c r="O37" t="s">
        <v>1327</v>
      </c>
    </row>
    <row r="38" spans="3:15">
      <c r="I38" t="s">
        <v>1328</v>
      </c>
      <c r="J38" t="s">
        <v>1329</v>
      </c>
      <c r="K38" t="s">
        <v>1330</v>
      </c>
      <c r="L38" t="s">
        <v>1331</v>
      </c>
      <c r="N38" t="s">
        <v>1308</v>
      </c>
      <c r="O38" t="s">
        <v>1281</v>
      </c>
    </row>
    <row r="39" spans="3:15">
      <c r="O39" t="s">
        <v>1332</v>
      </c>
    </row>
    <row r="40" spans="3:15">
      <c r="I40" t="s">
        <v>1333</v>
      </c>
      <c r="J40" t="s">
        <v>1334</v>
      </c>
      <c r="K40" t="s">
        <v>1287</v>
      </c>
      <c r="L40" t="s">
        <v>1288</v>
      </c>
      <c r="M40" t="s">
        <v>1254</v>
      </c>
      <c r="N40" t="s">
        <v>1335</v>
      </c>
    </row>
    <row r="41" spans="3:15">
      <c r="I41" t="s">
        <v>1336</v>
      </c>
      <c r="J41" t="s">
        <v>1337</v>
      </c>
      <c r="K41" t="s">
        <v>1338</v>
      </c>
      <c r="L41" t="s">
        <v>1297</v>
      </c>
      <c r="M41" t="s">
        <v>1280</v>
      </c>
      <c r="N41" t="s">
        <v>1281</v>
      </c>
      <c r="O41" t="s">
        <v>1339</v>
      </c>
    </row>
    <row r="42" spans="3:15">
      <c r="I42" t="s">
        <v>1340</v>
      </c>
      <c r="J42" t="s">
        <v>1341</v>
      </c>
      <c r="K42" t="s">
        <v>1305</v>
      </c>
      <c r="L42" t="s">
        <v>1299</v>
      </c>
      <c r="M42" t="s">
        <v>1342</v>
      </c>
      <c r="N42" t="s">
        <v>1343</v>
      </c>
      <c r="O42" t="s">
        <v>1344</v>
      </c>
    </row>
    <row r="43" spans="3:15">
      <c r="I43" t="s">
        <v>1345</v>
      </c>
      <c r="J43" t="s">
        <v>1346</v>
      </c>
      <c r="K43" t="s">
        <v>1311</v>
      </c>
      <c r="L43" t="s">
        <v>1312</v>
      </c>
      <c r="M43" t="s">
        <v>1347</v>
      </c>
      <c r="N43" t="s">
        <v>1348</v>
      </c>
      <c r="O43" t="s">
        <v>1349</v>
      </c>
    </row>
    <row r="44" spans="3:15">
      <c r="I44" t="s">
        <v>1350</v>
      </c>
      <c r="J44" t="s">
        <v>1351</v>
      </c>
      <c r="K44" t="s">
        <v>1352</v>
      </c>
      <c r="L44" t="s">
        <v>1302</v>
      </c>
      <c r="M44" t="s">
        <v>1353</v>
      </c>
      <c r="N44" t="s">
        <v>1354</v>
      </c>
      <c r="O44" t="s">
        <v>1355</v>
      </c>
    </row>
    <row r="45" spans="3:15">
      <c r="M45" t="s">
        <v>1298</v>
      </c>
      <c r="N45" t="s">
        <v>1308</v>
      </c>
      <c r="O45" t="s">
        <v>1248</v>
      </c>
    </row>
    <row r="46" spans="3:15">
      <c r="I46" t="s">
        <v>1356</v>
      </c>
      <c r="J46" t="s">
        <v>1357</v>
      </c>
      <c r="K46" t="s">
        <v>1358</v>
      </c>
      <c r="L46" t="s">
        <v>1359</v>
      </c>
    </row>
    <row r="47" spans="3:15">
      <c r="I47" t="s">
        <v>1360</v>
      </c>
      <c r="J47" t="s">
        <v>1361</v>
      </c>
      <c r="K47" t="s">
        <v>1362</v>
      </c>
      <c r="L47" t="s">
        <v>1363</v>
      </c>
      <c r="M47" t="s">
        <v>1258</v>
      </c>
      <c r="N47" t="s">
        <v>1364</v>
      </c>
    </row>
    <row r="48" spans="3:15">
      <c r="I48" t="s">
        <v>1365</v>
      </c>
      <c r="J48" t="s">
        <v>1334</v>
      </c>
      <c r="K48" t="s">
        <v>1287</v>
      </c>
      <c r="L48" t="s">
        <v>1288</v>
      </c>
      <c r="M48" t="s">
        <v>1280</v>
      </c>
      <c r="N48" t="s">
        <v>1281</v>
      </c>
    </row>
    <row r="49" spans="9:14">
      <c r="I49" t="s">
        <v>1366</v>
      </c>
      <c r="J49" t="s">
        <v>1367</v>
      </c>
      <c r="K49" t="s">
        <v>1368</v>
      </c>
      <c r="L49" t="s">
        <v>1297</v>
      </c>
      <c r="M49" t="s">
        <v>1302</v>
      </c>
      <c r="N49" t="s">
        <v>1369</v>
      </c>
    </row>
    <row r="50" spans="9:14">
      <c r="I50" t="s">
        <v>1370</v>
      </c>
      <c r="J50" t="s">
        <v>1371</v>
      </c>
      <c r="K50" t="s">
        <v>1305</v>
      </c>
      <c r="L50" t="s">
        <v>1299</v>
      </c>
      <c r="M50" t="s">
        <v>1372</v>
      </c>
      <c r="N50" t="s">
        <v>1373</v>
      </c>
    </row>
    <row r="51" spans="9:14">
      <c r="I51" t="s">
        <v>1374</v>
      </c>
      <c r="J51" t="s">
        <v>1375</v>
      </c>
      <c r="K51" t="s">
        <v>1311</v>
      </c>
      <c r="L51" t="s">
        <v>1312</v>
      </c>
      <c r="M51" t="s">
        <v>1291</v>
      </c>
      <c r="N51" t="s">
        <v>1376</v>
      </c>
    </row>
    <row r="52" spans="9:14">
      <c r="I52" t="s">
        <v>1377</v>
      </c>
      <c r="J52" t="s">
        <v>1378</v>
      </c>
      <c r="K52" t="s">
        <v>1379</v>
      </c>
      <c r="L52" t="s">
        <v>1302</v>
      </c>
      <c r="N52" t="s">
        <v>1380</v>
      </c>
    </row>
    <row r="53" spans="9:14">
      <c r="M53" t="s">
        <v>1381</v>
      </c>
      <c r="N53" t="s">
        <v>1308</v>
      </c>
    </row>
    <row r="54" spans="9:14">
      <c r="M54" t="s">
        <v>1281</v>
      </c>
    </row>
    <row r="55" spans="9:14">
      <c r="M55" t="s">
        <v>1288</v>
      </c>
      <c r="N55" t="s">
        <v>1382</v>
      </c>
    </row>
    <row r="56" spans="9:14">
      <c r="M56" t="s">
        <v>1297</v>
      </c>
      <c r="N56" t="s">
        <v>1281</v>
      </c>
    </row>
    <row r="57" spans="9:14">
      <c r="M57" t="s">
        <v>1299</v>
      </c>
      <c r="N57" t="s">
        <v>1383</v>
      </c>
    </row>
    <row r="58" spans="9:14">
      <c r="M58" t="s">
        <v>1312</v>
      </c>
      <c r="N58" t="s">
        <v>1384</v>
      </c>
    </row>
    <row r="59" spans="9:14">
      <c r="M59" t="s">
        <v>1302</v>
      </c>
      <c r="N59" t="s">
        <v>1288</v>
      </c>
    </row>
    <row r="60" spans="9:14">
      <c r="N60" t="s">
        <v>1385</v>
      </c>
    </row>
    <row r="61" spans="9:14">
      <c r="N61" t="s">
        <v>1308</v>
      </c>
    </row>
    <row r="63" spans="9:14">
      <c r="N63" t="s">
        <v>1386</v>
      </c>
    </row>
    <row r="64" spans="9:14">
      <c r="N64" t="s">
        <v>1281</v>
      </c>
    </row>
    <row r="65" spans="14:14">
      <c r="N65" t="s">
        <v>1387</v>
      </c>
    </row>
    <row r="66" spans="14:14">
      <c r="N66" t="s">
        <v>1388</v>
      </c>
    </row>
    <row r="67" spans="14:14">
      <c r="N67" t="s">
        <v>1308</v>
      </c>
    </row>
    <row r="69" spans="14:14">
      <c r="N69" t="s">
        <v>1389</v>
      </c>
    </row>
    <row r="70" spans="14:14">
      <c r="N70" t="s">
        <v>1281</v>
      </c>
    </row>
    <row r="71" spans="14:14">
      <c r="N71" t="s">
        <v>1302</v>
      </c>
    </row>
    <row r="72" spans="14:14">
      <c r="N72" t="s">
        <v>1390</v>
      </c>
    </row>
    <row r="73" spans="14:14">
      <c r="N73" t="s">
        <v>1308</v>
      </c>
    </row>
  </sheetData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AD73"/>
  <sheetViews>
    <sheetView tabSelected="1" topLeftCell="J1" zoomScale="70" zoomScaleNormal="70" workbookViewId="0">
      <selection activeCell="X9" sqref="X9"/>
    </sheetView>
  </sheetViews>
  <sheetFormatPr defaultRowHeight="14.25"/>
  <cols>
    <col min="1" max="1" width="10" bestFit="1" customWidth="1"/>
    <col min="2" max="2" width="7.625" bestFit="1" customWidth="1"/>
    <col min="3" max="3" width="5.5" bestFit="1" customWidth="1"/>
    <col min="4" max="4" width="2.5" customWidth="1"/>
    <col min="5" max="5" width="14" customWidth="1"/>
    <col min="6" max="6" width="8" bestFit="1" customWidth="1"/>
    <col min="7" max="7" width="2.5" customWidth="1"/>
    <col min="8" max="8" width="25" bestFit="1" customWidth="1"/>
    <col min="9" max="9" width="6.875" bestFit="1" customWidth="1"/>
    <col min="10" max="10" width="17.75" customWidth="1"/>
    <col min="11" max="11" width="5.875" bestFit="1" customWidth="1"/>
    <col min="12" max="12" width="24" bestFit="1" customWidth="1"/>
    <col min="13" max="13" width="5.875" bestFit="1" customWidth="1"/>
    <col min="14" max="14" width="21.25" bestFit="1" customWidth="1"/>
    <col min="15" max="15" width="4.75" customWidth="1"/>
    <col min="16" max="16" width="20.125" bestFit="1" customWidth="1"/>
    <col min="17" max="17" width="4.75" customWidth="1"/>
    <col min="18" max="18" width="2.75" customWidth="1"/>
    <col min="19" max="19" width="24.625" bestFit="1" customWidth="1"/>
    <col min="20" max="20" width="7.5" bestFit="1" customWidth="1"/>
    <col min="21" max="21" width="5.25" customWidth="1"/>
    <col min="22" max="22" width="12.125" bestFit="1" customWidth="1"/>
    <col min="23" max="23" width="2.625" bestFit="1" customWidth="1"/>
    <col min="24" max="24" width="24.25" bestFit="1" customWidth="1"/>
    <col min="25" max="25" width="3.75" bestFit="1" customWidth="1"/>
    <col min="26" max="26" width="2.375" customWidth="1"/>
    <col min="27" max="27" width="13.25" customWidth="1"/>
    <col min="28" max="28" width="2.375" customWidth="1"/>
    <col min="29" max="29" width="11.75" customWidth="1"/>
    <col min="30" max="30" width="2.375" customWidth="1"/>
  </cols>
  <sheetData>
    <row r="1" spans="1:30" ht="15.75" thickBot="1">
      <c r="A1" s="72" t="s">
        <v>1216</v>
      </c>
      <c r="B1" s="78" t="s">
        <v>1480</v>
      </c>
      <c r="C1" s="79" t="s">
        <v>1626</v>
      </c>
      <c r="D1" s="77"/>
      <c r="E1" s="75" t="s">
        <v>1216</v>
      </c>
      <c r="F1" s="76">
        <f>SUM(F2:F3)</f>
        <v>100672</v>
      </c>
      <c r="H1" s="17" t="s">
        <v>1508</v>
      </c>
      <c r="I1" s="18">
        <f>SUM(I2:I4)</f>
        <v>10348</v>
      </c>
      <c r="N1" s="6"/>
      <c r="O1" s="6"/>
      <c r="P1" s="6"/>
      <c r="R1" s="6"/>
      <c r="S1" s="11"/>
      <c r="T1" s="11"/>
      <c r="U1" s="6"/>
    </row>
    <row r="2" spans="1:30" ht="15">
      <c r="A2" s="80" t="s">
        <v>1218</v>
      </c>
      <c r="B2" s="73" t="s">
        <v>1481</v>
      </c>
      <c r="C2" s="81" t="s">
        <v>1625</v>
      </c>
      <c r="D2" s="77"/>
      <c r="E2" s="60" t="s">
        <v>1503</v>
      </c>
      <c r="F2" s="61">
        <f>F13</f>
        <v>832</v>
      </c>
      <c r="H2" s="19" t="s">
        <v>1509</v>
      </c>
      <c r="I2" s="20">
        <f>I5</f>
        <v>1456</v>
      </c>
      <c r="S2" s="59" t="s">
        <v>1677</v>
      </c>
      <c r="T2" s="90" t="s">
        <v>1678</v>
      </c>
      <c r="U2" s="91" t="s">
        <v>1707</v>
      </c>
      <c r="V2" s="92" t="s">
        <v>1731</v>
      </c>
      <c r="X2" t="s">
        <v>1745</v>
      </c>
    </row>
    <row r="3" spans="1:30" ht="15.75" thickBot="1">
      <c r="A3" s="80" t="s">
        <v>1220</v>
      </c>
      <c r="B3" s="73" t="s">
        <v>1479</v>
      </c>
      <c r="C3" s="81" t="s">
        <v>1624</v>
      </c>
      <c r="D3" s="77"/>
      <c r="E3" s="62" t="s">
        <v>1499</v>
      </c>
      <c r="F3" s="63">
        <f>F4*3</f>
        <v>99840</v>
      </c>
      <c r="H3" s="21" t="s">
        <v>1510</v>
      </c>
      <c r="I3" s="22">
        <f>K5*3</f>
        <v>7644</v>
      </c>
      <c r="S3" s="60" t="s">
        <v>1675</v>
      </c>
      <c r="T3" s="74" t="s">
        <v>1676</v>
      </c>
      <c r="U3" s="74" t="s">
        <v>1706</v>
      </c>
      <c r="V3" s="61" t="s">
        <v>1730</v>
      </c>
      <c r="X3" t="s">
        <v>1746</v>
      </c>
    </row>
    <row r="4" spans="1:30" ht="15.75" thickBot="1">
      <c r="A4" s="80" t="s">
        <v>1228</v>
      </c>
      <c r="B4" s="73" t="s">
        <v>1482</v>
      </c>
      <c r="C4" s="81" t="s">
        <v>1623</v>
      </c>
      <c r="D4" s="77"/>
      <c r="E4" s="75" t="s">
        <v>1218</v>
      </c>
      <c r="F4" s="76">
        <f>SUM(F5:F6)</f>
        <v>33280</v>
      </c>
      <c r="H4" s="23" t="s">
        <v>1511</v>
      </c>
      <c r="I4" s="24">
        <f>M5</f>
        <v>1248</v>
      </c>
      <c r="S4" s="60" t="s">
        <v>1673</v>
      </c>
      <c r="T4" s="74" t="s">
        <v>1674</v>
      </c>
      <c r="U4" s="74" t="s">
        <v>1705</v>
      </c>
      <c r="V4" s="61" t="s">
        <v>1729</v>
      </c>
      <c r="X4" t="s">
        <v>1747</v>
      </c>
    </row>
    <row r="5" spans="1:30" ht="15">
      <c r="A5" s="80" t="s">
        <v>1267</v>
      </c>
      <c r="B5" s="73" t="s">
        <v>1391</v>
      </c>
      <c r="C5" s="81" t="s">
        <v>1622</v>
      </c>
      <c r="D5" s="77"/>
      <c r="E5" s="60" t="s">
        <v>1502</v>
      </c>
      <c r="F5" s="61">
        <f>F13</f>
        <v>832</v>
      </c>
      <c r="H5" s="25" t="s">
        <v>1512</v>
      </c>
      <c r="I5" s="26">
        <f>SUM(I6:I12)</f>
        <v>1456</v>
      </c>
      <c r="J5" s="17" t="s">
        <v>1505</v>
      </c>
      <c r="K5" s="32">
        <f>SUM(K6:K10)</f>
        <v>2548</v>
      </c>
      <c r="L5" s="38" t="s">
        <v>1511</v>
      </c>
      <c r="M5" s="39">
        <f>SUM(M6:M11)</f>
        <v>1248</v>
      </c>
      <c r="S5" s="60" t="s">
        <v>1671</v>
      </c>
      <c r="T5" s="74" t="s">
        <v>1672</v>
      </c>
      <c r="U5" s="74" t="s">
        <v>1704</v>
      </c>
      <c r="V5" s="61" t="s">
        <v>1728</v>
      </c>
      <c r="X5" t="s">
        <v>1748</v>
      </c>
    </row>
    <row r="6" spans="1:30" ht="15.75" thickBot="1">
      <c r="A6" s="80" t="s">
        <v>1475</v>
      </c>
      <c r="B6" s="73" t="s">
        <v>1483</v>
      </c>
      <c r="C6" s="81" t="s">
        <v>1621</v>
      </c>
      <c r="D6" s="77"/>
      <c r="E6" s="62" t="s">
        <v>1498</v>
      </c>
      <c r="F6" s="63">
        <f>F7*3</f>
        <v>32448</v>
      </c>
      <c r="H6" s="19" t="s">
        <v>1513</v>
      </c>
      <c r="I6" s="20">
        <f>F16</f>
        <v>208</v>
      </c>
      <c r="J6" s="19" t="s">
        <v>1494</v>
      </c>
      <c r="K6" s="33">
        <f>I14</f>
        <v>455</v>
      </c>
      <c r="L6" s="19" t="s">
        <v>1494</v>
      </c>
      <c r="M6" s="20">
        <f>F16</f>
        <v>208</v>
      </c>
      <c r="N6" s="6"/>
      <c r="O6" s="6"/>
      <c r="P6" s="6"/>
      <c r="Q6" s="6"/>
      <c r="R6" s="6"/>
      <c r="S6" s="60" t="s">
        <v>1670</v>
      </c>
      <c r="T6" s="74" t="s">
        <v>1669</v>
      </c>
      <c r="U6" s="74" t="s">
        <v>1703</v>
      </c>
      <c r="V6" s="61" t="s">
        <v>1727</v>
      </c>
      <c r="X6" t="s">
        <v>1749</v>
      </c>
    </row>
    <row r="7" spans="1:30" ht="15">
      <c r="A7" s="80" t="s">
        <v>1476</v>
      </c>
      <c r="B7" s="73" t="s">
        <v>1484</v>
      </c>
      <c r="C7" s="81" t="s">
        <v>1620</v>
      </c>
      <c r="D7" s="77"/>
      <c r="E7" s="75" t="s">
        <v>1479</v>
      </c>
      <c r="F7" s="76">
        <f>SUM(F8:F9)</f>
        <v>10816</v>
      </c>
      <c r="H7" s="19" t="s">
        <v>1494</v>
      </c>
      <c r="I7" s="20">
        <f>F16</f>
        <v>208</v>
      </c>
      <c r="J7" s="21" t="s">
        <v>1504</v>
      </c>
      <c r="K7" s="34">
        <f>K14*3</f>
        <v>1209</v>
      </c>
      <c r="L7" s="40" t="s">
        <v>1320</v>
      </c>
      <c r="M7" s="41">
        <f>F16</f>
        <v>208</v>
      </c>
      <c r="S7" s="60" t="s">
        <v>1667</v>
      </c>
      <c r="T7" s="74" t="s">
        <v>1668</v>
      </c>
      <c r="U7" s="74" t="s">
        <v>1702</v>
      </c>
      <c r="V7" s="61" t="s">
        <v>1726</v>
      </c>
      <c r="X7" t="s">
        <v>1750</v>
      </c>
    </row>
    <row r="8" spans="1:30" ht="15">
      <c r="A8" s="80" t="s">
        <v>1477</v>
      </c>
      <c r="B8" s="73" t="s">
        <v>1485</v>
      </c>
      <c r="C8" s="81" t="s">
        <v>1619</v>
      </c>
      <c r="D8" s="77"/>
      <c r="E8" s="60" t="s">
        <v>1501</v>
      </c>
      <c r="F8" s="61">
        <f>F13</f>
        <v>832</v>
      </c>
      <c r="H8" s="19" t="s">
        <v>1514</v>
      </c>
      <c r="I8" s="20">
        <f>F16</f>
        <v>208</v>
      </c>
      <c r="J8" s="29" t="s">
        <v>1506</v>
      </c>
      <c r="K8" s="35">
        <f>M14</f>
        <v>286</v>
      </c>
      <c r="L8" s="40" t="s">
        <v>1299</v>
      </c>
      <c r="M8" s="41">
        <f>F16</f>
        <v>208</v>
      </c>
      <c r="S8" s="60" t="s">
        <v>1665</v>
      </c>
      <c r="T8" s="74" t="s">
        <v>1666</v>
      </c>
      <c r="U8" s="74" t="s">
        <v>1701</v>
      </c>
      <c r="V8" s="61" t="s">
        <v>1725</v>
      </c>
      <c r="W8" s="6"/>
      <c r="X8" s="103" t="s">
        <v>1751</v>
      </c>
    </row>
    <row r="9" spans="1:30" ht="15.75" thickBot="1">
      <c r="A9" s="82" t="s">
        <v>1478</v>
      </c>
      <c r="B9" s="83" t="s">
        <v>1486</v>
      </c>
      <c r="C9" s="84" t="s">
        <v>1618</v>
      </c>
      <c r="D9" s="77"/>
      <c r="E9" s="62" t="s">
        <v>1497</v>
      </c>
      <c r="F9" s="63">
        <f>F10*3</f>
        <v>9984</v>
      </c>
      <c r="H9" s="19" t="s">
        <v>1516</v>
      </c>
      <c r="I9" s="20">
        <f>F16</f>
        <v>208</v>
      </c>
      <c r="J9" s="31" t="s">
        <v>1507</v>
      </c>
      <c r="K9" s="36">
        <f>O14</f>
        <v>247</v>
      </c>
      <c r="L9" s="40" t="s">
        <v>1297</v>
      </c>
      <c r="M9" s="41">
        <f>F16</f>
        <v>208</v>
      </c>
      <c r="S9" s="60" t="s">
        <v>1663</v>
      </c>
      <c r="T9" s="74" t="s">
        <v>1664</v>
      </c>
      <c r="U9" s="93" t="s">
        <v>1700</v>
      </c>
      <c r="V9" s="61" t="s">
        <v>1724</v>
      </c>
      <c r="Y9" s="6"/>
      <c r="Z9" s="6"/>
    </row>
    <row r="10" spans="1:30" ht="15.75" thickBot="1">
      <c r="E10" s="75" t="s">
        <v>1482</v>
      </c>
      <c r="F10" s="76">
        <f>SUM(F11:F12)</f>
        <v>3328</v>
      </c>
      <c r="H10" s="19" t="s">
        <v>1517</v>
      </c>
      <c r="I10" s="20">
        <f>F16</f>
        <v>208</v>
      </c>
      <c r="J10" s="23" t="s">
        <v>1308</v>
      </c>
      <c r="K10" s="37">
        <f>Q14</f>
        <v>351</v>
      </c>
      <c r="L10" s="40" t="s">
        <v>1312</v>
      </c>
      <c r="M10" s="41">
        <f>F16</f>
        <v>208</v>
      </c>
      <c r="S10" s="60" t="s">
        <v>1661</v>
      </c>
      <c r="T10" s="74" t="s">
        <v>1662</v>
      </c>
      <c r="U10" s="74" t="s">
        <v>1699</v>
      </c>
      <c r="V10" s="61" t="s">
        <v>1723</v>
      </c>
    </row>
    <row r="11" spans="1:30" ht="15.75" thickBot="1">
      <c r="E11" s="60" t="s">
        <v>1500</v>
      </c>
      <c r="F11" s="61">
        <f>F13</f>
        <v>832</v>
      </c>
      <c r="H11" s="19" t="s">
        <v>1515</v>
      </c>
      <c r="I11" s="20">
        <f>F16</f>
        <v>208</v>
      </c>
      <c r="L11" s="23" t="s">
        <v>1318</v>
      </c>
      <c r="M11" s="24">
        <f>F16</f>
        <v>208</v>
      </c>
      <c r="N11" s="6"/>
      <c r="O11" s="6"/>
      <c r="P11" s="6"/>
      <c r="Q11" s="6"/>
      <c r="S11" s="94" t="s">
        <v>1659</v>
      </c>
      <c r="T11" s="89" t="s">
        <v>1660</v>
      </c>
      <c r="U11" s="89" t="s">
        <v>1698</v>
      </c>
      <c r="V11" s="95" t="s">
        <v>1722</v>
      </c>
    </row>
    <row r="12" spans="1:30" ht="15" thickBot="1">
      <c r="E12" s="62" t="s">
        <v>1496</v>
      </c>
      <c r="F12" s="63">
        <f>F13*3</f>
        <v>2496</v>
      </c>
      <c r="H12" s="27" t="s">
        <v>1308</v>
      </c>
      <c r="I12" s="28">
        <f>F16</f>
        <v>208</v>
      </c>
      <c r="S12" s="94" t="s">
        <v>1657</v>
      </c>
      <c r="T12" s="89" t="s">
        <v>1658</v>
      </c>
      <c r="U12" s="89" t="s">
        <v>1697</v>
      </c>
      <c r="V12" s="95" t="s">
        <v>1721</v>
      </c>
    </row>
    <row r="13" spans="1:30" ht="15.75" thickBot="1">
      <c r="E13" s="75" t="s">
        <v>1391</v>
      </c>
      <c r="F13" s="76">
        <f>SUM(F14:F15)</f>
        <v>832</v>
      </c>
      <c r="S13" s="94" t="s">
        <v>1655</v>
      </c>
      <c r="T13" s="89" t="s">
        <v>1656</v>
      </c>
      <c r="U13" s="89" t="s">
        <v>1696</v>
      </c>
      <c r="V13" s="96" t="s">
        <v>1720</v>
      </c>
      <c r="AA13" s="6"/>
      <c r="AC13" s="6"/>
      <c r="AD13" s="6"/>
    </row>
    <row r="14" spans="1:30" ht="15">
      <c r="E14" s="60" t="s">
        <v>1494</v>
      </c>
      <c r="F14" s="61">
        <f>F16</f>
        <v>208</v>
      </c>
      <c r="H14" s="25" t="s">
        <v>1563</v>
      </c>
      <c r="I14" s="26">
        <f>SUM(I15:I22)</f>
        <v>455</v>
      </c>
      <c r="J14" s="17" t="s">
        <v>1580</v>
      </c>
      <c r="K14" s="32">
        <f>SUM(K15:K18)</f>
        <v>403</v>
      </c>
      <c r="L14" s="45" t="s">
        <v>1581</v>
      </c>
      <c r="M14" s="46">
        <f>SUM(M15:M19)</f>
        <v>286</v>
      </c>
      <c r="N14" s="49" t="s">
        <v>1582</v>
      </c>
      <c r="O14" s="51">
        <f>SUM(O15:O18)</f>
        <v>247</v>
      </c>
      <c r="P14" s="38" t="s">
        <v>1579</v>
      </c>
      <c r="Q14" s="39">
        <f>SUM(Q15:Q20)</f>
        <v>351</v>
      </c>
      <c r="S14" s="94" t="s">
        <v>1653</v>
      </c>
      <c r="T14" s="89" t="s">
        <v>1654</v>
      </c>
      <c r="U14" s="88" t="s">
        <v>1695</v>
      </c>
      <c r="V14" s="96" t="s">
        <v>1719</v>
      </c>
      <c r="W14" s="6"/>
      <c r="X14" s="6"/>
      <c r="Y14" s="6"/>
      <c r="Z14" s="6"/>
    </row>
    <row r="15" spans="1:30" ht="15" thickBot="1">
      <c r="E15" s="62" t="s">
        <v>1495</v>
      </c>
      <c r="F15" s="63">
        <f>F16*3</f>
        <v>624</v>
      </c>
      <c r="H15" s="19" t="s">
        <v>1547</v>
      </c>
      <c r="I15" s="20">
        <f>I24</f>
        <v>52</v>
      </c>
      <c r="J15" s="21" t="s">
        <v>1564</v>
      </c>
      <c r="K15" s="34">
        <f>K24</f>
        <v>65</v>
      </c>
      <c r="L15" s="29" t="s">
        <v>1488</v>
      </c>
      <c r="M15" s="30">
        <f>M24</f>
        <v>78</v>
      </c>
      <c r="N15" s="31" t="s">
        <v>1572</v>
      </c>
      <c r="O15" s="36">
        <f>O24</f>
        <v>65</v>
      </c>
      <c r="P15" s="40" t="s">
        <v>1584</v>
      </c>
      <c r="Q15" s="41">
        <f>Q24</f>
        <v>52</v>
      </c>
      <c r="S15" s="94" t="s">
        <v>1651</v>
      </c>
      <c r="T15" s="89" t="s">
        <v>1652</v>
      </c>
      <c r="U15" s="89" t="s">
        <v>1694</v>
      </c>
      <c r="V15" s="96" t="s">
        <v>1718</v>
      </c>
    </row>
    <row r="16" spans="1:30" ht="15">
      <c r="E16" s="75" t="s">
        <v>1483</v>
      </c>
      <c r="F16" s="76">
        <f>SUM(F17:F18)</f>
        <v>208</v>
      </c>
      <c r="H16" s="19" t="s">
        <v>1548</v>
      </c>
      <c r="I16" s="20">
        <f>I29</f>
        <v>78</v>
      </c>
      <c r="J16" s="21" t="s">
        <v>1520</v>
      </c>
      <c r="K16" s="34">
        <f>K30*3</f>
        <v>195</v>
      </c>
      <c r="L16" s="29" t="s">
        <v>1524</v>
      </c>
      <c r="M16" s="30">
        <f>M31</f>
        <v>52</v>
      </c>
      <c r="N16" s="31" t="s">
        <v>1540</v>
      </c>
      <c r="O16" s="36">
        <f>O30</f>
        <v>65</v>
      </c>
      <c r="P16" s="40" t="s">
        <v>1542</v>
      </c>
      <c r="Q16" s="41">
        <f>Q29</f>
        <v>78</v>
      </c>
      <c r="S16" s="94" t="s">
        <v>1649</v>
      </c>
      <c r="T16" s="89" t="s">
        <v>1650</v>
      </c>
      <c r="U16" s="89" t="s">
        <v>1693</v>
      </c>
      <c r="V16" s="96" t="s">
        <v>1717</v>
      </c>
    </row>
    <row r="17" spans="5:22">
      <c r="E17" s="60" t="s">
        <v>1488</v>
      </c>
      <c r="F17" s="61">
        <f>F19</f>
        <v>52</v>
      </c>
      <c r="H17" s="19" t="s">
        <v>1549</v>
      </c>
      <c r="I17" s="20">
        <f>I36</f>
        <v>39</v>
      </c>
      <c r="J17" s="21" t="s">
        <v>1518</v>
      </c>
      <c r="K17" s="34">
        <f>K34</f>
        <v>78</v>
      </c>
      <c r="L17" s="29" t="s">
        <v>1523</v>
      </c>
      <c r="M17" s="30">
        <f>M35</f>
        <v>52</v>
      </c>
      <c r="N17" s="31" t="s">
        <v>1541</v>
      </c>
      <c r="O17" s="36">
        <f>O34</f>
        <v>52</v>
      </c>
      <c r="P17" s="40" t="s">
        <v>1543</v>
      </c>
      <c r="Q17" s="41">
        <f>Q36</f>
        <v>39</v>
      </c>
      <c r="S17" s="60" t="s">
        <v>1647</v>
      </c>
      <c r="T17" s="74" t="s">
        <v>1648</v>
      </c>
      <c r="U17" s="74" t="s">
        <v>1692</v>
      </c>
      <c r="V17" s="87" t="s">
        <v>1716</v>
      </c>
    </row>
    <row r="18" spans="5:22" ht="15" thickBot="1">
      <c r="E18" s="62" t="s">
        <v>1489</v>
      </c>
      <c r="F18" s="63">
        <f>F19*3</f>
        <v>156</v>
      </c>
      <c r="H18" s="19" t="s">
        <v>1551</v>
      </c>
      <c r="I18" s="20">
        <f>I40</f>
        <v>39</v>
      </c>
      <c r="J18" s="42" t="s">
        <v>1583</v>
      </c>
      <c r="K18" s="44">
        <f>K41</f>
        <v>65</v>
      </c>
      <c r="L18" s="29" t="s">
        <v>1521</v>
      </c>
      <c r="M18" s="30">
        <f>M39</f>
        <v>52</v>
      </c>
      <c r="N18" s="50" t="s">
        <v>1578</v>
      </c>
      <c r="O18" s="52">
        <f>O39</f>
        <v>65</v>
      </c>
      <c r="P18" s="40" t="s">
        <v>1544</v>
      </c>
      <c r="Q18" s="41">
        <f>Q40</f>
        <v>39</v>
      </c>
      <c r="S18" s="86" t="s">
        <v>1645</v>
      </c>
      <c r="T18" s="93" t="s">
        <v>1646</v>
      </c>
      <c r="U18" s="85" t="s">
        <v>1691</v>
      </c>
      <c r="V18" s="97" t="s">
        <v>1715</v>
      </c>
    </row>
    <row r="19" spans="5:22" ht="15">
      <c r="E19" s="75" t="s">
        <v>1484</v>
      </c>
      <c r="F19" s="76">
        <f>SUM(F20:F21)</f>
        <v>52</v>
      </c>
      <c r="H19" s="19" t="s">
        <v>1552</v>
      </c>
      <c r="I19" s="20">
        <f>I44</f>
        <v>65</v>
      </c>
      <c r="L19" s="29" t="s">
        <v>1522</v>
      </c>
      <c r="M19" s="30">
        <f>M42</f>
        <v>52</v>
      </c>
      <c r="P19" s="40" t="s">
        <v>1545</v>
      </c>
      <c r="Q19" s="41">
        <f>Q44</f>
        <v>91</v>
      </c>
      <c r="S19" s="86" t="s">
        <v>1643</v>
      </c>
      <c r="T19" s="93" t="s">
        <v>1644</v>
      </c>
      <c r="U19" s="93" t="s">
        <v>1690</v>
      </c>
      <c r="V19" s="87" t="s">
        <v>1620</v>
      </c>
    </row>
    <row r="20" spans="5:22" ht="15" thickBot="1">
      <c r="E20" s="60" t="s">
        <v>1487</v>
      </c>
      <c r="F20" s="61">
        <f>F22</f>
        <v>13</v>
      </c>
      <c r="H20" s="19" t="s">
        <v>1553</v>
      </c>
      <c r="I20" s="20">
        <f>I50</f>
        <v>65</v>
      </c>
      <c r="L20" s="47" t="s">
        <v>1519</v>
      </c>
      <c r="M20" s="48">
        <f>M45</f>
        <v>65</v>
      </c>
      <c r="P20" s="23" t="s">
        <v>1546</v>
      </c>
      <c r="Q20" s="24">
        <f>Q52</f>
        <v>52</v>
      </c>
      <c r="S20" s="86" t="s">
        <v>1641</v>
      </c>
      <c r="T20" s="93" t="s">
        <v>1642</v>
      </c>
      <c r="U20" s="85" t="s">
        <v>1689</v>
      </c>
      <c r="V20" s="97" t="s">
        <v>1619</v>
      </c>
    </row>
    <row r="21" spans="5:22" ht="15" thickBot="1">
      <c r="E21" s="62" t="s">
        <v>1490</v>
      </c>
      <c r="F21" s="63">
        <f>F22*3</f>
        <v>39</v>
      </c>
      <c r="H21" s="19" t="s">
        <v>1554</v>
      </c>
      <c r="I21" s="20">
        <f>I50</f>
        <v>65</v>
      </c>
      <c r="S21" s="60" t="s">
        <v>1639</v>
      </c>
      <c r="T21" s="93" t="s">
        <v>1640</v>
      </c>
      <c r="U21" s="74" t="s">
        <v>1688</v>
      </c>
      <c r="V21" s="87" t="s">
        <v>1618</v>
      </c>
    </row>
    <row r="22" spans="5:22" ht="15.75" thickBot="1">
      <c r="E22" s="75" t="s">
        <v>1485</v>
      </c>
      <c r="F22" s="76">
        <f>SUM(F23:F24)</f>
        <v>13</v>
      </c>
      <c r="H22" s="27" t="s">
        <v>1550</v>
      </c>
      <c r="I22" s="28">
        <f>F19</f>
        <v>52</v>
      </c>
      <c r="S22" s="98" t="s">
        <v>1637</v>
      </c>
      <c r="T22" s="88" t="s">
        <v>1638</v>
      </c>
      <c r="U22" s="89" t="s">
        <v>1687</v>
      </c>
      <c r="V22" s="96" t="s">
        <v>1714</v>
      </c>
    </row>
    <row r="23" spans="5:22" ht="15" thickBot="1">
      <c r="E23" s="60" t="s">
        <v>1491</v>
      </c>
      <c r="F23" s="61">
        <v>1</v>
      </c>
      <c r="S23" s="98" t="s">
        <v>1635</v>
      </c>
      <c r="T23" s="88" t="s">
        <v>1636</v>
      </c>
      <c r="U23" s="89" t="s">
        <v>1686</v>
      </c>
      <c r="V23" s="96" t="s">
        <v>1713</v>
      </c>
    </row>
    <row r="24" spans="5:22" ht="15.75" thickBot="1">
      <c r="E24" s="62" t="s">
        <v>1492</v>
      </c>
      <c r="F24" s="63">
        <f>F25*3</f>
        <v>12</v>
      </c>
      <c r="H24" s="25" t="s">
        <v>1609</v>
      </c>
      <c r="I24" s="26">
        <f>SUM(I25:I28)</f>
        <v>52</v>
      </c>
      <c r="J24" s="17" t="s">
        <v>1564</v>
      </c>
      <c r="K24" s="18">
        <f>SUM(K25:K29)</f>
        <v>65</v>
      </c>
      <c r="L24" s="45" t="s">
        <v>1567</v>
      </c>
      <c r="M24" s="46">
        <f>SUM(M25:M30)</f>
        <v>78</v>
      </c>
      <c r="N24" s="68" t="s">
        <v>1572</v>
      </c>
      <c r="O24" s="69">
        <f>SUM(O25:O29)</f>
        <v>65</v>
      </c>
      <c r="P24" s="38" t="s">
        <v>1584</v>
      </c>
      <c r="Q24" s="39">
        <f>SUM(Q25:Q28)</f>
        <v>52</v>
      </c>
      <c r="S24" s="98" t="s">
        <v>1633</v>
      </c>
      <c r="T24" s="89" t="s">
        <v>1634</v>
      </c>
      <c r="U24" s="89" t="s">
        <v>1685</v>
      </c>
      <c r="V24" s="96" t="s">
        <v>1712</v>
      </c>
    </row>
    <row r="25" spans="5:22" ht="15">
      <c r="E25" s="75" t="s">
        <v>1486</v>
      </c>
      <c r="F25" s="76">
        <v>4</v>
      </c>
      <c r="H25" s="19" t="s">
        <v>1487</v>
      </c>
      <c r="I25" s="20">
        <f>F22</f>
        <v>13</v>
      </c>
      <c r="J25" s="53" t="s">
        <v>1487</v>
      </c>
      <c r="K25" s="54">
        <f>F22</f>
        <v>13</v>
      </c>
      <c r="L25" s="57" t="s">
        <v>1487</v>
      </c>
      <c r="M25" s="30">
        <f>F22</f>
        <v>13</v>
      </c>
      <c r="N25" s="64" t="s">
        <v>1487</v>
      </c>
      <c r="O25" s="65">
        <f>F22</f>
        <v>13</v>
      </c>
      <c r="P25" s="40" t="s">
        <v>1487</v>
      </c>
      <c r="Q25" s="41">
        <f>F22</f>
        <v>13</v>
      </c>
      <c r="S25" s="98" t="s">
        <v>1682</v>
      </c>
      <c r="T25" s="89" t="s">
        <v>1683</v>
      </c>
      <c r="U25" s="89" t="s">
        <v>1684</v>
      </c>
      <c r="V25" s="96" t="s">
        <v>1711</v>
      </c>
    </row>
    <row r="26" spans="5:22">
      <c r="E26" s="60" t="s">
        <v>1392</v>
      </c>
      <c r="F26" s="61"/>
      <c r="H26" s="19" t="s">
        <v>1532</v>
      </c>
      <c r="I26" s="20">
        <f>F22</f>
        <v>13</v>
      </c>
      <c r="J26" s="21" t="s">
        <v>1532</v>
      </c>
      <c r="K26" s="22">
        <f>F22</f>
        <v>13</v>
      </c>
      <c r="L26" s="57" t="s">
        <v>1532</v>
      </c>
      <c r="M26" s="30">
        <f>F22</f>
        <v>13</v>
      </c>
      <c r="N26" s="64" t="s">
        <v>1532</v>
      </c>
      <c r="O26" s="65">
        <f>F22</f>
        <v>13</v>
      </c>
      <c r="P26" s="40" t="s">
        <v>1532</v>
      </c>
      <c r="Q26" s="41">
        <f>F22</f>
        <v>13</v>
      </c>
      <c r="S26" s="98" t="s">
        <v>1631</v>
      </c>
      <c r="T26" s="89" t="s">
        <v>1632</v>
      </c>
      <c r="U26" s="89" t="s">
        <v>1681</v>
      </c>
      <c r="V26" s="96" t="s">
        <v>1710</v>
      </c>
    </row>
    <row r="27" spans="5:22" ht="15" thickBot="1">
      <c r="E27" s="62" t="s">
        <v>1493</v>
      </c>
      <c r="F27" s="63"/>
      <c r="H27" s="19" t="s">
        <v>1534</v>
      </c>
      <c r="I27" s="20">
        <f>F22</f>
        <v>13</v>
      </c>
      <c r="J27" s="21" t="s">
        <v>1534</v>
      </c>
      <c r="K27" s="22">
        <f>F22</f>
        <v>13</v>
      </c>
      <c r="L27" s="57" t="s">
        <v>1534</v>
      </c>
      <c r="M27" s="30">
        <f>F22</f>
        <v>13</v>
      </c>
      <c r="N27" s="64" t="s">
        <v>1534</v>
      </c>
      <c r="O27" s="65">
        <f>F22</f>
        <v>13</v>
      </c>
      <c r="P27" s="40" t="s">
        <v>1534</v>
      </c>
      <c r="Q27" s="41">
        <f>F22</f>
        <v>13</v>
      </c>
      <c r="S27" s="98" t="s">
        <v>1629</v>
      </c>
      <c r="T27" s="89" t="s">
        <v>1630</v>
      </c>
      <c r="U27" s="89" t="s">
        <v>1680</v>
      </c>
      <c r="V27" s="96" t="s">
        <v>1709</v>
      </c>
    </row>
    <row r="28" spans="5:22" ht="15" thickBot="1">
      <c r="H28" s="27" t="s">
        <v>1585</v>
      </c>
      <c r="I28" s="28">
        <f>F22</f>
        <v>13</v>
      </c>
      <c r="J28" s="21" t="s">
        <v>1535</v>
      </c>
      <c r="K28" s="22">
        <f>F22</f>
        <v>13</v>
      </c>
      <c r="L28" s="29" t="s">
        <v>1535</v>
      </c>
      <c r="M28" s="30">
        <f>F22</f>
        <v>13</v>
      </c>
      <c r="N28" s="64" t="s">
        <v>1573</v>
      </c>
      <c r="O28" s="65">
        <f>F22</f>
        <v>13</v>
      </c>
      <c r="P28" s="23" t="s">
        <v>1585</v>
      </c>
      <c r="Q28" s="24">
        <f>F22</f>
        <v>13</v>
      </c>
      <c r="S28" s="99" t="s">
        <v>1628</v>
      </c>
      <c r="T28" s="100" t="s">
        <v>1627</v>
      </c>
      <c r="U28" s="100" t="s">
        <v>1679</v>
      </c>
      <c r="V28" s="101" t="s">
        <v>1708</v>
      </c>
    </row>
    <row r="29" spans="5:22" ht="15.75" thickBot="1">
      <c r="H29" s="25" t="s">
        <v>1610</v>
      </c>
      <c r="I29" s="26">
        <f>SUM(I30:I35)</f>
        <v>78</v>
      </c>
      <c r="J29" s="42" t="s">
        <v>1533</v>
      </c>
      <c r="K29" s="55">
        <f>F22</f>
        <v>13</v>
      </c>
      <c r="L29" s="57" t="s">
        <v>1555</v>
      </c>
      <c r="M29" s="30">
        <f>F22</f>
        <v>13</v>
      </c>
      <c r="N29" s="66" t="s">
        <v>1533</v>
      </c>
      <c r="O29" s="67">
        <f>F22</f>
        <v>13</v>
      </c>
      <c r="P29" s="38" t="s">
        <v>1586</v>
      </c>
      <c r="Q29" s="39">
        <f>SUM(Q30:Q35)</f>
        <v>78</v>
      </c>
      <c r="S29" s="6"/>
      <c r="T29" s="11"/>
    </row>
    <row r="30" spans="5:22" ht="15.75" thickBot="1">
      <c r="H30" s="19" t="s">
        <v>1487</v>
      </c>
      <c r="I30" s="20">
        <f>F22</f>
        <v>13</v>
      </c>
      <c r="J30" s="17" t="s">
        <v>1525</v>
      </c>
      <c r="K30" s="18">
        <f>SUM(K31:K33)</f>
        <v>65</v>
      </c>
      <c r="L30" s="58" t="s">
        <v>1556</v>
      </c>
      <c r="M30" s="48">
        <f>F22</f>
        <v>13</v>
      </c>
      <c r="N30" s="68" t="s">
        <v>1574</v>
      </c>
      <c r="O30" s="69">
        <f>SUM(O31:O33)</f>
        <v>65</v>
      </c>
      <c r="P30" s="40" t="s">
        <v>1487</v>
      </c>
      <c r="Q30" s="41">
        <f>F22</f>
        <v>13</v>
      </c>
      <c r="T30" s="11"/>
    </row>
    <row r="31" spans="5:22" ht="15">
      <c r="H31" s="19" t="s">
        <v>1532</v>
      </c>
      <c r="I31" s="20">
        <f>F22</f>
        <v>13</v>
      </c>
      <c r="J31" s="21" t="s">
        <v>1487</v>
      </c>
      <c r="K31" s="22">
        <f>F22</f>
        <v>13</v>
      </c>
      <c r="L31" s="45" t="s">
        <v>1571</v>
      </c>
      <c r="M31" s="46">
        <f>SUM(M32:M34)</f>
        <v>52</v>
      </c>
      <c r="N31" s="64" t="s">
        <v>1487</v>
      </c>
      <c r="O31" s="65">
        <f>F22</f>
        <v>13</v>
      </c>
      <c r="P31" s="40" t="s">
        <v>1589</v>
      </c>
      <c r="Q31" s="41">
        <f>F22</f>
        <v>13</v>
      </c>
    </row>
    <row r="32" spans="5:22" ht="15">
      <c r="H32" s="19" t="s">
        <v>1611</v>
      </c>
      <c r="I32" s="20">
        <f>F22</f>
        <v>13</v>
      </c>
      <c r="J32" s="21" t="s">
        <v>1526</v>
      </c>
      <c r="K32" s="54">
        <f>F22*3</f>
        <v>39</v>
      </c>
      <c r="L32" s="57" t="s">
        <v>1487</v>
      </c>
      <c r="M32" s="30">
        <f>F22</f>
        <v>13</v>
      </c>
      <c r="N32" s="64" t="s">
        <v>1527</v>
      </c>
      <c r="O32" s="65">
        <f>F22</f>
        <v>13</v>
      </c>
      <c r="P32" s="40" t="s">
        <v>1587</v>
      </c>
      <c r="Q32" s="41">
        <f>F22</f>
        <v>13</v>
      </c>
      <c r="T32" s="6"/>
    </row>
    <row r="33" spans="8:17" ht="15" thickBot="1">
      <c r="H33" s="19" t="s">
        <v>1612</v>
      </c>
      <c r="I33" s="20">
        <f>F22</f>
        <v>13</v>
      </c>
      <c r="J33" s="42" t="s">
        <v>1527</v>
      </c>
      <c r="K33" s="43">
        <f>F22</f>
        <v>13</v>
      </c>
      <c r="L33" s="29" t="s">
        <v>1557</v>
      </c>
      <c r="M33" s="30">
        <f>F22*2</f>
        <v>26</v>
      </c>
      <c r="N33" s="66" t="s">
        <v>1575</v>
      </c>
      <c r="O33" s="67">
        <f>F22*3</f>
        <v>39</v>
      </c>
      <c r="P33" s="70" t="s">
        <v>1588</v>
      </c>
      <c r="Q33" s="71">
        <f>F22</f>
        <v>13</v>
      </c>
    </row>
    <row r="34" spans="8:17" ht="15.75" thickBot="1">
      <c r="H34" s="19" t="s">
        <v>1613</v>
      </c>
      <c r="I34" s="20">
        <f>F22</f>
        <v>13</v>
      </c>
      <c r="J34" s="17" t="s">
        <v>1561</v>
      </c>
      <c r="K34" s="18">
        <f>SUM(K35:K40)</f>
        <v>78</v>
      </c>
      <c r="L34" s="47" t="s">
        <v>1558</v>
      </c>
      <c r="M34" s="48">
        <f>F22</f>
        <v>13</v>
      </c>
      <c r="N34" s="68" t="s">
        <v>1576</v>
      </c>
      <c r="O34" s="69">
        <f>SUM(O35:O38)</f>
        <v>52</v>
      </c>
      <c r="P34" s="40" t="s">
        <v>1590</v>
      </c>
      <c r="Q34" s="41">
        <f>F22</f>
        <v>13</v>
      </c>
    </row>
    <row r="35" spans="8:17" ht="15.75" thickBot="1">
      <c r="H35" s="27" t="s">
        <v>1614</v>
      </c>
      <c r="I35" s="28">
        <f>F22</f>
        <v>13</v>
      </c>
      <c r="J35" s="53" t="s">
        <v>1487</v>
      </c>
      <c r="K35" s="22">
        <f>F22</f>
        <v>13</v>
      </c>
      <c r="L35" s="45" t="s">
        <v>1568</v>
      </c>
      <c r="M35" s="46">
        <f>SUM(M36:M38)</f>
        <v>52</v>
      </c>
      <c r="N35" s="64" t="s">
        <v>1487</v>
      </c>
      <c r="O35" s="65">
        <f>F22</f>
        <v>13</v>
      </c>
      <c r="P35" s="23" t="s">
        <v>1591</v>
      </c>
      <c r="Q35" s="24">
        <f>F22</f>
        <v>13</v>
      </c>
    </row>
    <row r="36" spans="8:17" ht="15">
      <c r="H36" s="25" t="s">
        <v>1615</v>
      </c>
      <c r="I36" s="26">
        <f>SUM(I37:I39)</f>
        <v>39</v>
      </c>
      <c r="J36" s="21" t="s">
        <v>1536</v>
      </c>
      <c r="K36" s="22">
        <f>F22</f>
        <v>13</v>
      </c>
      <c r="L36" s="29" t="s">
        <v>1487</v>
      </c>
      <c r="M36" s="30">
        <f>F22</f>
        <v>13</v>
      </c>
      <c r="N36" s="64" t="s">
        <v>1538</v>
      </c>
      <c r="O36" s="65">
        <f>F22</f>
        <v>13</v>
      </c>
      <c r="P36" s="38" t="s">
        <v>1592</v>
      </c>
      <c r="Q36" s="39">
        <f>SUM(Q37:Q39)</f>
        <v>39</v>
      </c>
    </row>
    <row r="37" spans="8:17">
      <c r="H37" s="19" t="s">
        <v>1487</v>
      </c>
      <c r="I37" s="20">
        <f>F22</f>
        <v>13</v>
      </c>
      <c r="J37" s="21" t="s">
        <v>1562</v>
      </c>
      <c r="K37" s="22">
        <f>F22</f>
        <v>13</v>
      </c>
      <c r="L37" s="29" t="s">
        <v>1559</v>
      </c>
      <c r="M37" s="30">
        <f>F22*2</f>
        <v>26</v>
      </c>
      <c r="N37" s="64" t="s">
        <v>1536</v>
      </c>
      <c r="O37" s="65">
        <f>F22</f>
        <v>13</v>
      </c>
      <c r="P37" s="40" t="s">
        <v>1487</v>
      </c>
      <c r="Q37" s="41">
        <f>F22</f>
        <v>13</v>
      </c>
    </row>
    <row r="38" spans="8:17" ht="15" thickBot="1">
      <c r="H38" s="19" t="s">
        <v>1616</v>
      </c>
      <c r="I38" s="20">
        <f>F22</f>
        <v>13</v>
      </c>
      <c r="J38" s="21" t="s">
        <v>1537</v>
      </c>
      <c r="K38" s="22">
        <f>F22</f>
        <v>13</v>
      </c>
      <c r="L38" s="47" t="s">
        <v>1558</v>
      </c>
      <c r="M38" s="48">
        <f>F22</f>
        <v>13</v>
      </c>
      <c r="N38" s="66" t="s">
        <v>1577</v>
      </c>
      <c r="O38" s="67">
        <f>F22</f>
        <v>13</v>
      </c>
      <c r="P38" s="40" t="s">
        <v>1593</v>
      </c>
      <c r="Q38" s="41">
        <f>F22</f>
        <v>13</v>
      </c>
    </row>
    <row r="39" spans="8:17" ht="15.75" thickBot="1">
      <c r="H39" s="27" t="s">
        <v>1617</v>
      </c>
      <c r="I39" s="28">
        <f>F22</f>
        <v>13</v>
      </c>
      <c r="J39" s="21" t="s">
        <v>1538</v>
      </c>
      <c r="K39" s="22">
        <f>F22</f>
        <v>13</v>
      </c>
      <c r="L39" s="45" t="s">
        <v>1569</v>
      </c>
      <c r="M39" s="46">
        <f>SUM(M40:M41)</f>
        <v>52</v>
      </c>
      <c r="N39" s="68" t="s">
        <v>1578</v>
      </c>
      <c r="O39" s="69">
        <f>SUM(O40:O44)</f>
        <v>65</v>
      </c>
      <c r="P39" s="23" t="s">
        <v>1594</v>
      </c>
      <c r="Q39" s="24">
        <f>F22</f>
        <v>13</v>
      </c>
    </row>
    <row r="40" spans="8:17" ht="15.75" thickBot="1">
      <c r="H40" s="25" t="s">
        <v>1732</v>
      </c>
      <c r="I40" s="26">
        <f>SUM(I41:I43)</f>
        <v>39</v>
      </c>
      <c r="J40" s="42" t="s">
        <v>1539</v>
      </c>
      <c r="K40" s="43">
        <f>F22</f>
        <v>13</v>
      </c>
      <c r="L40" s="29" t="s">
        <v>1487</v>
      </c>
      <c r="M40" s="30">
        <f>F22</f>
        <v>13</v>
      </c>
      <c r="N40" s="64" t="s">
        <v>1487</v>
      </c>
      <c r="O40" s="65">
        <f>F22</f>
        <v>13</v>
      </c>
      <c r="P40" s="38" t="s">
        <v>1595</v>
      </c>
      <c r="Q40" s="39">
        <f>SUM(Q41:Q43)</f>
        <v>39</v>
      </c>
    </row>
    <row r="41" spans="8:17" ht="15.75" thickBot="1">
      <c r="H41" s="19" t="s">
        <v>1487</v>
      </c>
      <c r="I41" s="20">
        <f>F22</f>
        <v>13</v>
      </c>
      <c r="J41" s="17" t="s">
        <v>1519</v>
      </c>
      <c r="K41" s="18">
        <f>SUM(K42:K46)</f>
        <v>65</v>
      </c>
      <c r="L41" s="47" t="s">
        <v>1560</v>
      </c>
      <c r="M41" s="48">
        <f>F22*3</f>
        <v>39</v>
      </c>
      <c r="N41" s="64" t="s">
        <v>1528</v>
      </c>
      <c r="O41" s="65">
        <f>F22</f>
        <v>13</v>
      </c>
      <c r="P41" s="40" t="s">
        <v>1487</v>
      </c>
      <c r="Q41" s="41">
        <f>F22</f>
        <v>13</v>
      </c>
    </row>
    <row r="42" spans="8:17" ht="15">
      <c r="H42" s="19" t="s">
        <v>1733</v>
      </c>
      <c r="I42" s="20">
        <f>F22</f>
        <v>13</v>
      </c>
      <c r="J42" s="53" t="s">
        <v>1487</v>
      </c>
      <c r="K42" s="22">
        <f>F22</f>
        <v>13</v>
      </c>
      <c r="L42" s="45" t="s">
        <v>1570</v>
      </c>
      <c r="M42" s="46">
        <f>SUM(M43:M44)</f>
        <v>52</v>
      </c>
      <c r="N42" s="64" t="s">
        <v>1530</v>
      </c>
      <c r="O42" s="65">
        <f>F22</f>
        <v>13</v>
      </c>
      <c r="P42" s="40" t="s">
        <v>1596</v>
      </c>
      <c r="Q42" s="41">
        <f>F22</f>
        <v>13</v>
      </c>
    </row>
    <row r="43" spans="8:17" ht="15" thickBot="1">
      <c r="H43" s="27" t="s">
        <v>1734</v>
      </c>
      <c r="I43" s="28">
        <f>F22</f>
        <v>13</v>
      </c>
      <c r="J43" s="21" t="s">
        <v>1528</v>
      </c>
      <c r="K43" s="54">
        <f>F22</f>
        <v>13</v>
      </c>
      <c r="L43" s="29" t="s">
        <v>1487</v>
      </c>
      <c r="M43" s="30">
        <f>F22</f>
        <v>13</v>
      </c>
      <c r="N43" s="64" t="s">
        <v>1531</v>
      </c>
      <c r="O43" s="65">
        <f>F22</f>
        <v>13</v>
      </c>
      <c r="P43" s="23" t="s">
        <v>1597</v>
      </c>
      <c r="Q43" s="24">
        <f>F22</f>
        <v>13</v>
      </c>
    </row>
    <row r="44" spans="8:17" ht="15.75" thickBot="1">
      <c r="H44" s="25" t="s">
        <v>1735</v>
      </c>
      <c r="I44" s="26">
        <f>SUM(I45:I49)</f>
        <v>65</v>
      </c>
      <c r="J44" s="56" t="s">
        <v>1529</v>
      </c>
      <c r="K44" s="22">
        <f>F22</f>
        <v>13</v>
      </c>
      <c r="L44" s="47" t="s">
        <v>1565</v>
      </c>
      <c r="M44" s="48">
        <f>F22*3</f>
        <v>39</v>
      </c>
      <c r="N44" s="66" t="s">
        <v>1529</v>
      </c>
      <c r="O44" s="67">
        <f>F22</f>
        <v>13</v>
      </c>
      <c r="P44" s="38" t="s">
        <v>1598</v>
      </c>
      <c r="Q44" s="39">
        <f>SUM(Q45:Q51)</f>
        <v>91</v>
      </c>
    </row>
    <row r="45" spans="8:17" ht="15">
      <c r="H45" s="19" t="s">
        <v>1487</v>
      </c>
      <c r="I45" s="20">
        <f>F22</f>
        <v>13</v>
      </c>
      <c r="J45" s="56" t="s">
        <v>1530</v>
      </c>
      <c r="K45" s="22">
        <f>F22</f>
        <v>13</v>
      </c>
      <c r="L45" s="45" t="s">
        <v>1566</v>
      </c>
      <c r="M45" s="46">
        <f>SUM(M46:M50)</f>
        <v>65</v>
      </c>
      <c r="P45" s="40" t="s">
        <v>1487</v>
      </c>
      <c r="Q45" s="41">
        <f>F22</f>
        <v>13</v>
      </c>
    </row>
    <row r="46" spans="8:17" ht="15" thickBot="1">
      <c r="H46" s="19" t="s">
        <v>1736</v>
      </c>
      <c r="I46" s="20">
        <f>F22</f>
        <v>13</v>
      </c>
      <c r="J46" s="102" t="s">
        <v>1531</v>
      </c>
      <c r="K46" s="43">
        <f>F22</f>
        <v>13</v>
      </c>
      <c r="L46" s="29" t="s">
        <v>1487</v>
      </c>
      <c r="M46" s="30">
        <f>F22</f>
        <v>13</v>
      </c>
      <c r="P46" s="40" t="s">
        <v>1599</v>
      </c>
      <c r="Q46" s="41">
        <f>F22</f>
        <v>13</v>
      </c>
    </row>
    <row r="47" spans="8:17">
      <c r="H47" s="19" t="s">
        <v>1737</v>
      </c>
      <c r="I47" s="20">
        <f>F22</f>
        <v>13</v>
      </c>
      <c r="L47" s="29" t="s">
        <v>1528</v>
      </c>
      <c r="M47" s="30">
        <f>F22</f>
        <v>13</v>
      </c>
      <c r="P47" s="40" t="s">
        <v>1600</v>
      </c>
      <c r="Q47" s="41">
        <f>F22</f>
        <v>13</v>
      </c>
    </row>
    <row r="48" spans="8:17">
      <c r="H48" s="19" t="s">
        <v>1738</v>
      </c>
      <c r="I48" s="20">
        <f>F22</f>
        <v>13</v>
      </c>
      <c r="L48" s="29" t="s">
        <v>1531</v>
      </c>
      <c r="M48" s="30">
        <f>F22</f>
        <v>13</v>
      </c>
      <c r="P48" s="40" t="s">
        <v>1601</v>
      </c>
      <c r="Q48" s="41">
        <f>F22</f>
        <v>13</v>
      </c>
    </row>
    <row r="49" spans="8:17" ht="15" thickBot="1">
      <c r="H49" s="27" t="s">
        <v>1739</v>
      </c>
      <c r="I49" s="28">
        <f>F22</f>
        <v>13</v>
      </c>
      <c r="L49" s="29" t="s">
        <v>1530</v>
      </c>
      <c r="M49" s="30">
        <f>F22</f>
        <v>13</v>
      </c>
      <c r="P49" s="40" t="s">
        <v>1602</v>
      </c>
      <c r="Q49" s="41">
        <f>F22</f>
        <v>13</v>
      </c>
    </row>
    <row r="50" spans="8:17" ht="15.75" thickBot="1">
      <c r="H50" s="25" t="s">
        <v>1740</v>
      </c>
      <c r="I50" s="26">
        <f>SUM(I51:I55)</f>
        <v>65</v>
      </c>
      <c r="L50" s="47" t="s">
        <v>1529</v>
      </c>
      <c r="M50" s="48">
        <f>F22</f>
        <v>13</v>
      </c>
      <c r="P50" s="40" t="s">
        <v>1603</v>
      </c>
      <c r="Q50" s="41">
        <f>F22</f>
        <v>13</v>
      </c>
    </row>
    <row r="51" spans="8:17" ht="15" thickBot="1">
      <c r="H51" s="19" t="s">
        <v>1487</v>
      </c>
      <c r="I51" s="20">
        <f>F22</f>
        <v>13</v>
      </c>
      <c r="P51" s="23" t="s">
        <v>1604</v>
      </c>
      <c r="Q51" s="24">
        <f>F22</f>
        <v>13</v>
      </c>
    </row>
    <row r="52" spans="8:17" ht="15">
      <c r="H52" s="19" t="s">
        <v>1741</v>
      </c>
      <c r="I52" s="20">
        <f>F22</f>
        <v>13</v>
      </c>
      <c r="P52" s="38" t="s">
        <v>1605</v>
      </c>
      <c r="Q52" s="39">
        <f>SUM(Q53:Q56)</f>
        <v>52</v>
      </c>
    </row>
    <row r="53" spans="8:17">
      <c r="H53" s="19" t="s">
        <v>1742</v>
      </c>
      <c r="I53" s="20">
        <f>F22</f>
        <v>13</v>
      </c>
      <c r="P53" s="40" t="s">
        <v>1487</v>
      </c>
      <c r="Q53" s="41">
        <f>F22</f>
        <v>13</v>
      </c>
    </row>
    <row r="54" spans="8:17">
      <c r="H54" s="19" t="s">
        <v>1743</v>
      </c>
      <c r="I54" s="20">
        <f>F22</f>
        <v>13</v>
      </c>
      <c r="P54" s="40" t="s">
        <v>1606</v>
      </c>
      <c r="Q54" s="41">
        <f>F22</f>
        <v>13</v>
      </c>
    </row>
    <row r="55" spans="8:17" ht="15" thickBot="1">
      <c r="H55" s="27" t="s">
        <v>1744</v>
      </c>
      <c r="I55" s="28">
        <f>F22</f>
        <v>13</v>
      </c>
      <c r="P55" s="40" t="s">
        <v>1607</v>
      </c>
      <c r="Q55" s="41">
        <f>F22</f>
        <v>13</v>
      </c>
    </row>
    <row r="56" spans="8:17" ht="15" thickBot="1">
      <c r="P56" s="23" t="s">
        <v>1608</v>
      </c>
      <c r="Q56" s="24">
        <f>F22</f>
        <v>13</v>
      </c>
    </row>
    <row r="66" spans="16:17" ht="15">
      <c r="P66" s="15"/>
    </row>
    <row r="67" spans="16:17" ht="15">
      <c r="P67" s="16"/>
      <c r="Q67" s="15"/>
    </row>
    <row r="68" spans="16:17">
      <c r="P68" s="16"/>
      <c r="Q68" s="16"/>
    </row>
    <row r="69" spans="16:17" ht="15">
      <c r="P69" s="15"/>
      <c r="Q69" s="16"/>
    </row>
    <row r="70" spans="16:17" ht="15">
      <c r="P70" s="16"/>
      <c r="Q70" s="15"/>
    </row>
    <row r="71" spans="16:17">
      <c r="P71" s="16"/>
      <c r="Q71" s="16"/>
    </row>
    <row r="72" spans="16:17">
      <c r="P72" s="16"/>
      <c r="Q72" s="16"/>
    </row>
    <row r="73" spans="16:17">
      <c r="Q73" s="16"/>
    </row>
  </sheetData>
  <pageMargins left="0" right="0" top="0.39410000000000001" bottom="0.39410000000000001" header="0" footer="0"/>
  <pageSetup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5508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Sheet4</vt:lpstr>
      <vt:lpstr>Sheet1</vt:lpstr>
      <vt:lpstr>Sheet2</vt:lpstr>
      <vt:lpstr>Sheet3</vt:lpstr>
      <vt:lpstr>Sheet5</vt:lpstr>
      <vt:lpstr>Attached_Units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Madden</dc:creator>
  <cp:lastModifiedBy>jmadden</cp:lastModifiedBy>
  <cp:revision>14</cp:revision>
  <dcterms:created xsi:type="dcterms:W3CDTF">2008-11-10T21:37:26Z</dcterms:created>
  <dcterms:modified xsi:type="dcterms:W3CDTF">2009-07-31T12:33:48Z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