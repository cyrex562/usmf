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_drive\usmf\"/>
    </mc:Choice>
  </mc:AlternateContent>
  <xr:revisionPtr revIDLastSave="0" documentId="13_ncr:1_{6855F848-E8FF-4EEA-B323-9C6F4ED5B1FB}" xr6:coauthVersionLast="34" xr6:coauthVersionMax="34" xr10:uidLastSave="{00000000-0000-0000-0000-000000000000}"/>
  <bookViews>
    <workbookView xWindow="0" yWindow="0" windowWidth="17974" windowHeight="14023" activeTab="1" xr2:uid="{F7CC531F-1F1F-42AB-8DEC-C71028CEC6D6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5" i="1" l="1"/>
  <c r="AE4" i="1"/>
  <c r="AA17" i="1"/>
  <c r="AA27" i="1"/>
  <c r="AA31" i="1"/>
  <c r="AA30" i="1"/>
  <c r="AA29" i="1"/>
  <c r="AA28" i="1"/>
  <c r="AA23" i="1"/>
  <c r="AA22" i="1"/>
  <c r="AA21" i="1"/>
  <c r="AA20" i="1"/>
  <c r="AA19" i="1"/>
  <c r="W129" i="1"/>
  <c r="W128" i="1"/>
  <c r="W127" i="1"/>
  <c r="W126" i="1"/>
  <c r="W123" i="1"/>
  <c r="W122" i="1"/>
  <c r="W121" i="1"/>
  <c r="W120" i="1"/>
  <c r="W117" i="1"/>
  <c r="W116" i="1"/>
  <c r="W115" i="1"/>
  <c r="W114" i="1" s="1"/>
  <c r="W111" i="1"/>
  <c r="W110" i="1"/>
  <c r="W108" i="1" s="1"/>
  <c r="W109" i="1"/>
  <c r="W105" i="1"/>
  <c r="W104" i="1"/>
  <c r="W103" i="1"/>
  <c r="W102" i="1" s="1"/>
  <c r="W99" i="1"/>
  <c r="W98" i="1"/>
  <c r="W97" i="1"/>
  <c r="W96" i="1" s="1"/>
  <c r="W93" i="1"/>
  <c r="W92" i="1"/>
  <c r="W90" i="1" s="1"/>
  <c r="W91" i="1"/>
  <c r="W87" i="1"/>
  <c r="W86" i="1"/>
  <c r="W85" i="1"/>
  <c r="W84" i="1" s="1"/>
  <c r="W81" i="1"/>
  <c r="W80" i="1"/>
  <c r="W78" i="1" s="1"/>
  <c r="W79" i="1"/>
  <c r="AA18" i="1"/>
  <c r="AE1" i="1"/>
  <c r="AE3" i="1"/>
  <c r="W1" i="1"/>
  <c r="W2" i="1"/>
  <c r="W5" i="1"/>
  <c r="W4" i="1"/>
  <c r="W3" i="1"/>
  <c r="S1" i="1"/>
  <c r="S5" i="1"/>
  <c r="S4" i="1"/>
  <c r="S2" i="1"/>
  <c r="S3" i="1"/>
  <c r="O1" i="1"/>
  <c r="O6" i="1"/>
  <c r="O5" i="1"/>
  <c r="O4" i="1"/>
  <c r="O3" i="1"/>
  <c r="O2" i="1"/>
  <c r="AE2" i="1"/>
  <c r="AA3" i="1"/>
  <c r="AA1" i="1" s="1"/>
  <c r="AA4" i="1"/>
  <c r="AA2" i="1"/>
  <c r="AA13" i="1"/>
  <c r="AA8" i="1" s="1"/>
  <c r="W54" i="1"/>
  <c r="W55" i="1"/>
  <c r="W56" i="1"/>
  <c r="W57" i="1"/>
  <c r="AA12" i="1"/>
  <c r="W48" i="1"/>
  <c r="W49" i="1"/>
  <c r="W50" i="1"/>
  <c r="W51" i="1"/>
  <c r="AA11" i="1"/>
  <c r="W42" i="1"/>
  <c r="W43" i="1"/>
  <c r="W44" i="1"/>
  <c r="W45" i="1"/>
  <c r="AA10" i="1"/>
  <c r="W35" i="1"/>
  <c r="S60" i="1"/>
  <c r="W38" i="1" s="1"/>
  <c r="W39" i="1"/>
  <c r="S68" i="1"/>
  <c r="S75" i="1"/>
  <c r="S74" i="1"/>
  <c r="S73" i="1"/>
  <c r="S72" i="1"/>
  <c r="S71" i="1"/>
  <c r="S70" i="1"/>
  <c r="S69" i="1"/>
  <c r="O135" i="1"/>
  <c r="O132" i="1" s="1"/>
  <c r="O134" i="1"/>
  <c r="O133" i="1"/>
  <c r="S65" i="1"/>
  <c r="S64" i="1"/>
  <c r="S63" i="1"/>
  <c r="S62" i="1"/>
  <c r="S61" i="1"/>
  <c r="K13" i="1"/>
  <c r="K12" i="1"/>
  <c r="W37" i="1"/>
  <c r="W36" i="1"/>
  <c r="AA9" i="1"/>
  <c r="W31" i="1"/>
  <c r="W30" i="1"/>
  <c r="W27" i="1" s="1"/>
  <c r="W29" i="1"/>
  <c r="S126" i="1"/>
  <c r="S128" i="1"/>
  <c r="S127" i="1"/>
  <c r="S129" i="1"/>
  <c r="S120" i="1"/>
  <c r="S123" i="1"/>
  <c r="S122" i="1"/>
  <c r="S121" i="1"/>
  <c r="S114" i="1"/>
  <c r="S115" i="1"/>
  <c r="S116" i="1"/>
  <c r="S117" i="1"/>
  <c r="S31" i="1"/>
  <c r="S30" i="1"/>
  <c r="S29" i="1"/>
  <c r="O126" i="1"/>
  <c r="O129" i="1"/>
  <c r="O128" i="1"/>
  <c r="O127" i="1"/>
  <c r="O120" i="1"/>
  <c r="O123" i="1"/>
  <c r="O122" i="1"/>
  <c r="O121" i="1"/>
  <c r="O114" i="1"/>
  <c r="O117" i="1"/>
  <c r="O116" i="1"/>
  <c r="O115" i="1"/>
  <c r="W32" i="1"/>
  <c r="W28" i="1"/>
  <c r="S27" i="1"/>
  <c r="S32" i="1"/>
  <c r="S28" i="1"/>
  <c r="AA32" i="1"/>
  <c r="AA24" i="1"/>
  <c r="AA14" i="1"/>
  <c r="AA5" i="1"/>
  <c r="W24" i="1"/>
  <c r="W23" i="1"/>
  <c r="W22" i="1"/>
  <c r="S110" i="1"/>
  <c r="S109" i="1"/>
  <c r="S111" i="1"/>
  <c r="S104" i="1"/>
  <c r="S103" i="1"/>
  <c r="S105" i="1"/>
  <c r="S102" i="1"/>
  <c r="S96" i="1"/>
  <c r="S99" i="1"/>
  <c r="S98" i="1"/>
  <c r="S97" i="1"/>
  <c r="W17" i="1"/>
  <c r="W21" i="1"/>
  <c r="S90" i="1"/>
  <c r="S92" i="1"/>
  <c r="S91" i="1"/>
  <c r="S93" i="1"/>
  <c r="W20" i="1"/>
  <c r="S84" i="1"/>
  <c r="S85" i="1"/>
  <c r="S86" i="1"/>
  <c r="S87" i="1"/>
  <c r="W19" i="1"/>
  <c r="S78" i="1"/>
  <c r="S79" i="1"/>
  <c r="S80" i="1"/>
  <c r="S81" i="1"/>
  <c r="K6" i="1"/>
  <c r="K2" i="1" s="1"/>
  <c r="S108" i="1" l="1"/>
  <c r="K3" i="1"/>
  <c r="K1" i="1" s="1"/>
  <c r="O50" i="1" s="1"/>
  <c r="O104" i="1" l="1"/>
  <c r="O85" i="1"/>
  <c r="O70" i="1"/>
  <c r="O61" i="1"/>
  <c r="O55" i="1"/>
  <c r="O54" i="1" s="1"/>
  <c r="O37" i="1"/>
  <c r="O28" i="1"/>
  <c r="O105" i="1"/>
  <c r="O69" i="1"/>
  <c r="O56" i="1"/>
  <c r="O36" i="1"/>
  <c r="O24" i="1"/>
  <c r="O109" i="1"/>
  <c r="O91" i="1"/>
  <c r="O43" i="1"/>
  <c r="O42" i="1" s="1"/>
  <c r="O23" i="1"/>
  <c r="O13" i="1"/>
  <c r="O110" i="1"/>
  <c r="O92" i="1"/>
  <c r="O79" i="1"/>
  <c r="O75" i="1"/>
  <c r="O44" i="1"/>
  <c r="O22" i="1"/>
  <c r="O12" i="1"/>
  <c r="O111" i="1"/>
  <c r="O97" i="1"/>
  <c r="O93" i="1"/>
  <c r="O80" i="1"/>
  <c r="O74" i="1"/>
  <c r="O65" i="1"/>
  <c r="O32" i="1"/>
  <c r="O21" i="1"/>
  <c r="O11" i="1"/>
  <c r="O98" i="1"/>
  <c r="O81" i="1"/>
  <c r="O73" i="1"/>
  <c r="O64" i="1"/>
  <c r="O31" i="1"/>
  <c r="O20" i="1"/>
  <c r="O19" i="1"/>
  <c r="O87" i="1"/>
  <c r="O39" i="1"/>
  <c r="O86" i="1"/>
  <c r="O71" i="1"/>
  <c r="O62" i="1"/>
  <c r="O103" i="1"/>
  <c r="O18" i="1"/>
  <c r="O99" i="1"/>
  <c r="O49" i="1"/>
  <c r="O48" i="1" s="1"/>
  <c r="O10" i="1"/>
  <c r="O9" i="1"/>
  <c r="O72" i="1"/>
  <c r="O14" i="1"/>
  <c r="O38" i="1"/>
  <c r="O63" i="1"/>
  <c r="O30" i="1"/>
  <c r="O29" i="1"/>
  <c r="O108" i="1" l="1"/>
  <c r="S24" i="1" s="1"/>
  <c r="O90" i="1"/>
  <c r="S21" i="1" s="1"/>
  <c r="O17" i="1"/>
  <c r="S50" i="1"/>
  <c r="S37" i="1"/>
  <c r="S56" i="1"/>
  <c r="S14" i="1"/>
  <c r="S44" i="1"/>
  <c r="S11" i="1"/>
  <c r="S45" i="1"/>
  <c r="S57" i="1"/>
  <c r="S13" i="1"/>
  <c r="O102" i="1"/>
  <c r="S23" i="1" s="1"/>
  <c r="O27" i="1"/>
  <c r="O8" i="1"/>
  <c r="O78" i="1"/>
  <c r="S19" i="1" s="1"/>
  <c r="O60" i="1"/>
  <c r="S38" i="1" s="1"/>
  <c r="O35" i="1"/>
  <c r="S10" i="1" s="1"/>
  <c r="S51" i="1"/>
  <c r="S12" i="1"/>
  <c r="O96" i="1"/>
  <c r="S22" i="1" s="1"/>
  <c r="O84" i="1"/>
  <c r="S20" i="1" s="1"/>
  <c r="O68" i="1"/>
  <c r="S39" i="1" s="1"/>
  <c r="S55" i="1" l="1"/>
  <c r="S54" i="1" s="1"/>
  <c r="W13" i="1" s="1"/>
  <c r="S36" i="1"/>
  <c r="S35" i="1" s="1"/>
  <c r="W10" i="1" s="1"/>
  <c r="S9" i="1"/>
  <c r="S8" i="1" s="1"/>
  <c r="S43" i="1"/>
  <c r="S42" i="1" s="1"/>
  <c r="W11" i="1" s="1"/>
  <c r="S49" i="1"/>
  <c r="S48" i="1" s="1"/>
  <c r="W12" i="1" s="1"/>
  <c r="S18" i="1"/>
  <c r="S17" i="1" s="1"/>
  <c r="W14" i="1" s="1"/>
  <c r="W18" i="1" l="1"/>
  <c r="W9" i="1"/>
  <c r="W8" i="1" s="1"/>
</calcChain>
</file>

<file path=xl/sharedStrings.xml><?xml version="1.0" encoding="utf-8"?>
<sst xmlns="http://schemas.openxmlformats.org/spreadsheetml/2006/main" count="468" uniqueCount="192">
  <si>
    <t>Field Army</t>
  </si>
  <si>
    <t>Corps</t>
  </si>
  <si>
    <t>Division</t>
  </si>
  <si>
    <t>Brigade</t>
  </si>
  <si>
    <t>Battalion</t>
  </si>
  <si>
    <t>Company</t>
  </si>
  <si>
    <t>Platoon</t>
  </si>
  <si>
    <t>Squad</t>
  </si>
  <si>
    <t>Marshal</t>
  </si>
  <si>
    <t>General</t>
  </si>
  <si>
    <t>Colonel</t>
  </si>
  <si>
    <t>Major</t>
  </si>
  <si>
    <t>Captain</t>
  </si>
  <si>
    <t>Lieutenant</t>
  </si>
  <si>
    <t>Warrant Officer</t>
  </si>
  <si>
    <t>Sergeant</t>
  </si>
  <si>
    <t>Corporal</t>
  </si>
  <si>
    <t>Private</t>
  </si>
  <si>
    <t>Operations</t>
  </si>
  <si>
    <t>Combat</t>
  </si>
  <si>
    <t>Effects</t>
  </si>
  <si>
    <t>Support</t>
  </si>
  <si>
    <t>Aviation</t>
  </si>
  <si>
    <t>Special Operations</t>
  </si>
  <si>
    <t>Ops Bde 1</t>
  </si>
  <si>
    <t>Eff Bde 1</t>
  </si>
  <si>
    <t>Spt Bde 1</t>
  </si>
  <si>
    <t>Div</t>
  </si>
  <si>
    <t>Cbt Bde 1</t>
  </si>
  <si>
    <t>DIV</t>
  </si>
  <si>
    <t>BDE</t>
  </si>
  <si>
    <t>BN</t>
  </si>
  <si>
    <t>CO</t>
  </si>
  <si>
    <t>PLT</t>
  </si>
  <si>
    <t>SQD</t>
  </si>
  <si>
    <t>Ops Bn 1</t>
  </si>
  <si>
    <t>Cbt Bn 1</t>
  </si>
  <si>
    <t>Eff Bn 1</t>
  </si>
  <si>
    <t>Spt Bn 1</t>
  </si>
  <si>
    <t>Ops Co 1</t>
  </si>
  <si>
    <t>Cbt Co 1</t>
  </si>
  <si>
    <t>Eff Co 1</t>
  </si>
  <si>
    <t>Spt Co 1</t>
  </si>
  <si>
    <t>Ops Plt 1</t>
  </si>
  <si>
    <t>Cbt Plt 1</t>
  </si>
  <si>
    <t>Eff Plt 1</t>
  </si>
  <si>
    <t>Spt Plt 1</t>
  </si>
  <si>
    <t>HQ Bn 1</t>
  </si>
  <si>
    <t>Tech BN 1</t>
  </si>
  <si>
    <t>Tech Bn 1</t>
  </si>
  <si>
    <t>Secty Bn 1</t>
  </si>
  <si>
    <t>Intel Bn 1</t>
  </si>
  <si>
    <t>HQ Co 1</t>
  </si>
  <si>
    <t>Tech Co 1</t>
  </si>
  <si>
    <t>Secty Co 1</t>
  </si>
  <si>
    <t>Intel Co 1</t>
  </si>
  <si>
    <t>HQ Plt 1</t>
  </si>
  <si>
    <t>Tech Plt 1</t>
  </si>
  <si>
    <t>Secty Plt 1</t>
  </si>
  <si>
    <t>Intel Plt 1</t>
  </si>
  <si>
    <t>Ops Sqd 1</t>
  </si>
  <si>
    <t>HQ Sqd 1</t>
  </si>
  <si>
    <t>Tech Sqd 1</t>
  </si>
  <si>
    <t>Secty Sqd 1</t>
  </si>
  <si>
    <t>Intel Sqd 1</t>
  </si>
  <si>
    <t>Spt Sqd 1</t>
  </si>
  <si>
    <t>Sply Bn 1</t>
  </si>
  <si>
    <t>Maint Bn 1</t>
  </si>
  <si>
    <t>Med Bn 1</t>
  </si>
  <si>
    <t>Trans Bn 1</t>
  </si>
  <si>
    <t>Eng Bn 1</t>
  </si>
  <si>
    <t>Svcs Bn 1</t>
  </si>
  <si>
    <t>Sply Co 1</t>
  </si>
  <si>
    <t>Maint Co 1</t>
  </si>
  <si>
    <t>Med Co 1</t>
  </si>
  <si>
    <t>Trans Co 1</t>
  </si>
  <si>
    <t>Eng Co 1</t>
  </si>
  <si>
    <t>Svcs Co 1</t>
  </si>
  <si>
    <t>Sply Plt 1</t>
  </si>
  <si>
    <t>Maint Plt 1</t>
  </si>
  <si>
    <t>Med Plt 1</t>
  </si>
  <si>
    <t>Trans Plt 1</t>
  </si>
  <si>
    <t>Eng Plt 1</t>
  </si>
  <si>
    <t>Svcs Plt 1</t>
  </si>
  <si>
    <t>Sply Sqd 1</t>
  </si>
  <si>
    <t>Maint Sqd 1</t>
  </si>
  <si>
    <t>Med Sqd 1</t>
  </si>
  <si>
    <t>Trans Sqd 1</t>
  </si>
  <si>
    <t>Eng Sqd 1</t>
  </si>
  <si>
    <t>Svcs Sqd 1</t>
  </si>
  <si>
    <t>Arty Bn 1</t>
  </si>
  <si>
    <t>ASD Bn 1</t>
  </si>
  <si>
    <t>CIEW Bn 1</t>
  </si>
  <si>
    <t>Arty Co 1</t>
  </si>
  <si>
    <t>ASD Co 1</t>
  </si>
  <si>
    <t>CIEW Co 1</t>
  </si>
  <si>
    <t>Arty Plt 1</t>
  </si>
  <si>
    <t>ASD Plt 1</t>
  </si>
  <si>
    <t>CIEW Plt 1</t>
  </si>
  <si>
    <t>Arty Sqd 1</t>
  </si>
  <si>
    <t>ASD Sqd 1</t>
  </si>
  <si>
    <t>CIEW Sqd 1</t>
  </si>
  <si>
    <t>Sqd 1</t>
  </si>
  <si>
    <t>HQ Tm</t>
  </si>
  <si>
    <t>Tm 1</t>
  </si>
  <si>
    <t>Tm Ldr</t>
  </si>
  <si>
    <t>Trooper</t>
  </si>
  <si>
    <t>HQ PLT</t>
  </si>
  <si>
    <t>Cmd Sqd 1</t>
  </si>
  <si>
    <t>Staff Sqd 1</t>
  </si>
  <si>
    <t>Tech Sqd</t>
  </si>
  <si>
    <t>Secty Plt</t>
  </si>
  <si>
    <t>Intel Sqd</t>
  </si>
  <si>
    <t>Cmd Plt 1</t>
  </si>
  <si>
    <t>Staff Plt 1</t>
  </si>
  <si>
    <t>CO Sqd 1</t>
  </si>
  <si>
    <t>XO Sqd 1</t>
  </si>
  <si>
    <t>NCOIC Sqd 1</t>
  </si>
  <si>
    <t xml:space="preserve">Staff Plt </t>
  </si>
  <si>
    <t>Admin Staff Sqd 1</t>
  </si>
  <si>
    <t>Intel Staff Sqd 1</t>
  </si>
  <si>
    <t>Ops Staff Sqd 1</t>
  </si>
  <si>
    <t>Log Staff Sqd 1</t>
  </si>
  <si>
    <t>Tech Staff Sqd 1</t>
  </si>
  <si>
    <t>Sply Plt</t>
  </si>
  <si>
    <t>Maint Plt</t>
  </si>
  <si>
    <t>Maint Sqd</t>
  </si>
  <si>
    <t xml:space="preserve">Svcs Plt </t>
  </si>
  <si>
    <t>Sply Co</t>
  </si>
  <si>
    <t>Ops Plt</t>
  </si>
  <si>
    <t>Spt Plt</t>
  </si>
  <si>
    <t>Maint Co</t>
  </si>
  <si>
    <t>Cmd Co 1</t>
  </si>
  <si>
    <t>Staff Co 1</t>
  </si>
  <si>
    <t>CO Plt 1</t>
  </si>
  <si>
    <t>XO Plt 1</t>
  </si>
  <si>
    <t>NCOIC Plt 1</t>
  </si>
  <si>
    <t>Plt 1</t>
  </si>
  <si>
    <t>HQ Sqd</t>
  </si>
  <si>
    <t>Sqd</t>
  </si>
  <si>
    <t>Admin Staff Plt 1</t>
  </si>
  <si>
    <t>Intel Staff Plt 1</t>
  </si>
  <si>
    <t>Ops Staff Plt 1</t>
  </si>
  <si>
    <t>Log Staff Plt 1</t>
  </si>
  <si>
    <t>Tech Staff Plt 1</t>
  </si>
  <si>
    <t>Staff Plt 2</t>
  </si>
  <si>
    <t>Secty BN 1</t>
  </si>
  <si>
    <t>Secty CO 1</t>
  </si>
  <si>
    <t>Intel BN 1</t>
  </si>
  <si>
    <t>Eff Sqd 1</t>
  </si>
  <si>
    <t>Inf Sqd 1</t>
  </si>
  <si>
    <t>Cav Sqd 1</t>
  </si>
  <si>
    <t>USMF</t>
  </si>
  <si>
    <t>USMF OPS BDE</t>
  </si>
  <si>
    <t>NORTHCOM</t>
  </si>
  <si>
    <t>SOUTHCOM</t>
  </si>
  <si>
    <t>CENTCOM</t>
  </si>
  <si>
    <t>EUCOM</t>
  </si>
  <si>
    <t>PACOM</t>
  </si>
  <si>
    <t>AFRICOM</t>
  </si>
  <si>
    <t>SPACECOM</t>
  </si>
  <si>
    <t>STRATCOM</t>
  </si>
  <si>
    <t>SOCOM</t>
  </si>
  <si>
    <t>OPS BN</t>
  </si>
  <si>
    <t>HQ BN</t>
  </si>
  <si>
    <t>TECH BN</t>
  </si>
  <si>
    <t>SECTY BN</t>
  </si>
  <si>
    <t>ADMIN BN</t>
  </si>
  <si>
    <t>INTEL BN</t>
  </si>
  <si>
    <t>SPT BN</t>
  </si>
  <si>
    <t>FORSCOM</t>
  </si>
  <si>
    <t>NORTHCOM OPS BDE</t>
  </si>
  <si>
    <t>SOUTHCOM OPS BDE</t>
  </si>
  <si>
    <t>CENTCOM OPS BDE</t>
  </si>
  <si>
    <t>EUCOM OPS BDE</t>
  </si>
  <si>
    <t>PACOM OPS BDE</t>
  </si>
  <si>
    <t>AFRICOM OPS BDE</t>
  </si>
  <si>
    <t>SPACECOM OPS BDE</t>
  </si>
  <si>
    <t>STRATCOM OPS BDE</t>
  </si>
  <si>
    <t>SOCOM OPS BDE</t>
  </si>
  <si>
    <t>FORSCOM OPS BDE</t>
  </si>
  <si>
    <t>LAND COMPONENT CMD (LCC)</t>
  </si>
  <si>
    <t>MARITIME COMPONENT CMD (MCC)</t>
  </si>
  <si>
    <t>AEROSPACE COMPONENT CMD (ASCC)</t>
  </si>
  <si>
    <t>1st Special Forces REGT</t>
  </si>
  <si>
    <t>1st Reconaissance REGT</t>
  </si>
  <si>
    <t>1st SEAL REGT</t>
  </si>
  <si>
    <t>1st Commando REGT</t>
  </si>
  <si>
    <t>75th Ranger REGT</t>
  </si>
  <si>
    <t>1st Spec Ops Spt Bde</t>
  </si>
  <si>
    <t>1st Spec Ops Eff Bde</t>
  </si>
  <si>
    <t>SUSTAINMENT CMD (SUSC)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</si>
</sst>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4CF1-0C8C-44C7-AFA6-C259C3681E4B}">
  <dimension ref="B1:AL135"/>
  <sheetViews>
    <sheetView topLeftCell="M1" zoomScaleNormal="100" workbookViewId="0">
      <selection activeCell="AH1" sqref="AH1"/>
    </sheetView>
  </sheetViews>
  <sheetFormatPr defaultRowHeight="14.6" x14ac:dyDescent="0.4"/>
  <cols>
    <col min="1" max="1" width="4.69140625" customWidth="1"/>
    <col min="2" max="2" width="2.84375" bestFit="1" customWidth="1"/>
    <col min="3" max="3" width="16.15234375" bestFit="1" customWidth="1"/>
    <col min="4" max="4" width="4.3828125" bestFit="1" customWidth="1"/>
    <col min="5" max="6" width="4.3828125" customWidth="1"/>
    <col min="7" max="7" width="9.69140625" bestFit="1" customWidth="1"/>
    <col min="8" max="8" width="9.69140625" customWidth="1"/>
    <col min="9" max="9" width="1.84375" bestFit="1" customWidth="1"/>
    <col min="10" max="10" width="9.3046875" bestFit="1" customWidth="1"/>
    <col min="11" max="11" width="2.84375" bestFit="1" customWidth="1"/>
    <col min="12" max="12" width="4.69140625" customWidth="1"/>
    <col min="13" max="13" width="1.84375" bestFit="1" customWidth="1"/>
    <col min="14" max="14" width="15.53515625" bestFit="1" customWidth="1"/>
    <col min="15" max="15" width="3.84375" bestFit="1" customWidth="1"/>
    <col min="16" max="16" width="3.84375" customWidth="1"/>
    <col min="17" max="17" width="1.84375" bestFit="1" customWidth="1"/>
    <col min="18" max="18" width="14.61328125" bestFit="1" customWidth="1"/>
    <col min="19" max="21" width="3.84375" customWidth="1"/>
    <col min="22" max="22" width="9.765625" bestFit="1" customWidth="1"/>
    <col min="23" max="23" width="4.84375" bestFit="1" customWidth="1"/>
    <col min="24" max="24" width="4.69140625" customWidth="1"/>
    <col min="25" max="25" width="1.84375" bestFit="1" customWidth="1"/>
    <col min="26" max="26" width="9.765625" bestFit="1" customWidth="1"/>
    <col min="27" max="27" width="5.84375" bestFit="1" customWidth="1"/>
    <col min="28" max="28" width="4.69140625" customWidth="1"/>
    <col min="29" max="29" width="1.84375" bestFit="1" customWidth="1"/>
    <col min="30" max="30" width="9.07421875" bestFit="1" customWidth="1"/>
    <col min="31" max="31" width="6.84375" bestFit="1" customWidth="1"/>
    <col min="32" max="33" width="4.69140625" customWidth="1"/>
    <col min="34" max="34" width="9.07421875" bestFit="1" customWidth="1"/>
    <col min="35" max="36" width="4.69140625" customWidth="1"/>
    <col min="37" max="37" width="1.84375" bestFit="1" customWidth="1"/>
    <col min="39" max="40" width="4.69140625" customWidth="1"/>
    <col min="41" max="41" width="1.84375" bestFit="1" customWidth="1"/>
    <col min="42" max="42" width="10.23046875" bestFit="1" customWidth="1"/>
    <col min="43" max="43" width="4.84375" bestFit="1" customWidth="1"/>
    <col min="44" max="45" width="4.69140625" customWidth="1"/>
    <col min="46" max="46" width="10.69140625" bestFit="1" customWidth="1"/>
    <col min="47" max="47" width="3.84375" bestFit="1" customWidth="1"/>
    <col min="48" max="49" width="4.69140625" customWidth="1"/>
    <col min="50" max="50" width="10.23046875" bestFit="1" customWidth="1"/>
    <col min="51" max="51" width="3.84375" bestFit="1" customWidth="1"/>
    <col min="52" max="53" width="4.69140625" customWidth="1"/>
    <col min="55" max="55" width="3.84375" bestFit="1" customWidth="1"/>
    <col min="56" max="56" width="4.69140625" customWidth="1"/>
    <col min="57" max="57" width="1.84375" bestFit="1" customWidth="1"/>
    <col min="59" max="59" width="3.84375" bestFit="1" customWidth="1"/>
    <col min="60" max="60" width="4.69140625" customWidth="1"/>
    <col min="61" max="61" width="1.84375" bestFit="1" customWidth="1"/>
    <col min="62" max="62" width="10.23046875" bestFit="1" customWidth="1"/>
    <col min="63" max="63" width="3.84375" bestFit="1" customWidth="1"/>
    <col min="64" max="64" width="4.69140625" customWidth="1"/>
    <col min="65" max="65" width="1.84375" bestFit="1" customWidth="1"/>
    <col min="67" max="67" width="3.84375" bestFit="1" customWidth="1"/>
    <col min="68" max="69" width="4.69140625" customWidth="1"/>
    <col min="70" max="70" width="11.15234375" bestFit="1" customWidth="1"/>
    <col min="71" max="71" width="2.84375" bestFit="1" customWidth="1"/>
    <col min="72" max="73" width="4.69140625" customWidth="1"/>
    <col min="74" max="74" width="15.53515625" bestFit="1" customWidth="1"/>
    <col min="75" max="75" width="3.84375" bestFit="1" customWidth="1"/>
    <col min="76" max="76" width="4.69140625" customWidth="1"/>
    <col min="77" max="77" width="1.84375" bestFit="1" customWidth="1"/>
    <col min="79" max="79" width="2.84375" bestFit="1" customWidth="1"/>
    <col min="80" max="80" width="4.69140625" customWidth="1"/>
    <col min="81" max="81" width="1.84375" bestFit="1" customWidth="1"/>
    <col min="83" max="83" width="2.84375" bestFit="1" customWidth="1"/>
    <col min="84" max="84" width="4.69140625" customWidth="1"/>
    <col min="85" max="85" width="1.84375" bestFit="1" customWidth="1"/>
    <col min="87" max="87" width="2.84375" bestFit="1" customWidth="1"/>
    <col min="88" max="88" width="4.69140625" customWidth="1"/>
    <col min="89" max="89" width="1.84375" bestFit="1" customWidth="1"/>
    <col min="90" max="90" width="10.3046875" bestFit="1" customWidth="1"/>
    <col min="91" max="91" width="2.84375" bestFit="1" customWidth="1"/>
    <col min="92" max="92" width="4.69140625" customWidth="1"/>
    <col min="93" max="93" width="1.84375" bestFit="1" customWidth="1"/>
    <col min="95" max="95" width="2.84375" bestFit="1" customWidth="1"/>
    <col min="96" max="96" width="4.69140625" customWidth="1"/>
    <col min="97" max="97" width="1.84375" bestFit="1" customWidth="1"/>
    <col min="99" max="99" width="2.84375" bestFit="1" customWidth="1"/>
  </cols>
  <sheetData>
    <row r="1" spans="2:38" x14ac:dyDescent="0.4">
      <c r="I1" s="1"/>
      <c r="J1" s="1" t="s">
        <v>102</v>
      </c>
      <c r="K1" s="1">
        <f>SUM(K2:K3)</f>
        <v>16</v>
      </c>
      <c r="M1" s="1"/>
      <c r="N1" s="1" t="s">
        <v>44</v>
      </c>
      <c r="O1" s="1">
        <f>SUM(O2:O6)</f>
        <v>112</v>
      </c>
      <c r="P1" s="1"/>
      <c r="R1" s="1" t="s">
        <v>40</v>
      </c>
      <c r="S1" s="1">
        <f>SUM(S2:S5)</f>
        <v>624</v>
      </c>
      <c r="V1" s="1" t="s">
        <v>36</v>
      </c>
      <c r="W1" s="1">
        <f>SUM(W2:W5)</f>
        <v>3360</v>
      </c>
      <c r="Z1" s="1" t="s">
        <v>28</v>
      </c>
      <c r="AA1" s="1">
        <f>SUM(AA2:AA5)</f>
        <v>18256</v>
      </c>
      <c r="AD1" s="1" t="s">
        <v>27</v>
      </c>
      <c r="AE1" s="1">
        <f>SUM(AE2:AE5)</f>
        <v>100032</v>
      </c>
      <c r="AH1" s="1"/>
      <c r="AL1" s="1"/>
    </row>
    <row r="2" spans="2:38" x14ac:dyDescent="0.4">
      <c r="B2">
        <v>8</v>
      </c>
      <c r="C2" t="s">
        <v>0</v>
      </c>
      <c r="G2" t="s">
        <v>8</v>
      </c>
      <c r="I2">
        <v>1</v>
      </c>
      <c r="J2" t="s">
        <v>103</v>
      </c>
      <c r="K2">
        <f>K6</f>
        <v>4</v>
      </c>
      <c r="M2">
        <v>1</v>
      </c>
      <c r="N2" t="s">
        <v>60</v>
      </c>
      <c r="O2">
        <f>K1</f>
        <v>16</v>
      </c>
      <c r="R2" t="s">
        <v>43</v>
      </c>
      <c r="S2">
        <f>O8</f>
        <v>96</v>
      </c>
      <c r="V2" t="s">
        <v>39</v>
      </c>
      <c r="W2">
        <f>S8</f>
        <v>464</v>
      </c>
      <c r="Z2" t="s">
        <v>35</v>
      </c>
      <c r="AA2">
        <f>W8</f>
        <v>2640</v>
      </c>
      <c r="AD2" t="s">
        <v>24</v>
      </c>
      <c r="AE2">
        <f>AA8</f>
        <v>14608</v>
      </c>
    </row>
    <row r="3" spans="2:38" x14ac:dyDescent="0.4">
      <c r="B3">
        <v>7</v>
      </c>
      <c r="C3" t="s">
        <v>1</v>
      </c>
      <c r="G3" t="s">
        <v>9</v>
      </c>
      <c r="I3">
        <v>3</v>
      </c>
      <c r="J3" t="s">
        <v>104</v>
      </c>
      <c r="K3">
        <f>K6*3</f>
        <v>12</v>
      </c>
      <c r="M3">
        <v>1</v>
      </c>
      <c r="N3" t="s">
        <v>65</v>
      </c>
      <c r="O3">
        <f>K1</f>
        <v>16</v>
      </c>
      <c r="Q3">
        <v>3</v>
      </c>
      <c r="R3" t="s">
        <v>44</v>
      </c>
      <c r="S3">
        <f>O1*Q3</f>
        <v>336</v>
      </c>
      <c r="U3">
        <v>3</v>
      </c>
      <c r="V3" t="s">
        <v>40</v>
      </c>
      <c r="W3">
        <f>S1*U3</f>
        <v>1872</v>
      </c>
      <c r="Y3">
        <v>3</v>
      </c>
      <c r="Z3" t="s">
        <v>36</v>
      </c>
      <c r="AA3">
        <f>W1*Y3</f>
        <v>10080</v>
      </c>
      <c r="AC3">
        <v>3</v>
      </c>
      <c r="AD3" t="s">
        <v>28</v>
      </c>
      <c r="AE3">
        <f>AA1*AC3</f>
        <v>54768</v>
      </c>
    </row>
    <row r="4" spans="2:38" x14ac:dyDescent="0.4">
      <c r="B4">
        <v>6</v>
      </c>
      <c r="C4" t="s">
        <v>2</v>
      </c>
      <c r="D4" t="s">
        <v>29</v>
      </c>
      <c r="G4" t="s">
        <v>9</v>
      </c>
      <c r="M4">
        <v>1</v>
      </c>
      <c r="N4" t="s">
        <v>149</v>
      </c>
      <c r="O4">
        <f>K1</f>
        <v>16</v>
      </c>
      <c r="R4" t="s">
        <v>45</v>
      </c>
      <c r="S4">
        <f>O27</f>
        <v>80</v>
      </c>
      <c r="V4" t="s">
        <v>41</v>
      </c>
      <c r="W4">
        <f>S27</f>
        <v>448</v>
      </c>
      <c r="Z4" t="s">
        <v>37</v>
      </c>
      <c r="AA4">
        <f>W27</f>
        <v>2384</v>
      </c>
      <c r="AD4" t="s">
        <v>25</v>
      </c>
      <c r="AE4">
        <f>AA27</f>
        <v>12944</v>
      </c>
    </row>
    <row r="5" spans="2:38" x14ac:dyDescent="0.4">
      <c r="B5">
        <v>5</v>
      </c>
      <c r="C5" t="s">
        <v>3</v>
      </c>
      <c r="D5" t="s">
        <v>30</v>
      </c>
      <c r="G5" t="s">
        <v>10</v>
      </c>
      <c r="M5">
        <v>3</v>
      </c>
      <c r="N5" t="s">
        <v>150</v>
      </c>
      <c r="O5">
        <f>K1*M5</f>
        <v>48</v>
      </c>
      <c r="R5" t="s">
        <v>46</v>
      </c>
      <c r="S5">
        <f>O17</f>
        <v>112</v>
      </c>
      <c r="V5" t="s">
        <v>42</v>
      </c>
      <c r="W5">
        <f>S17</f>
        <v>576</v>
      </c>
      <c r="Z5" t="s">
        <v>38</v>
      </c>
      <c r="AA5">
        <f>W17</f>
        <v>3152</v>
      </c>
      <c r="AD5" t="s">
        <v>26</v>
      </c>
      <c r="AE5">
        <f>AA17</f>
        <v>17712</v>
      </c>
    </row>
    <row r="6" spans="2:38" x14ac:dyDescent="0.4">
      <c r="B6">
        <v>4</v>
      </c>
      <c r="C6" t="s">
        <v>4</v>
      </c>
      <c r="D6" t="s">
        <v>31</v>
      </c>
      <c r="G6" t="s">
        <v>11</v>
      </c>
      <c r="J6" s="1" t="s">
        <v>104</v>
      </c>
      <c r="K6" s="1">
        <f>SUM(K7:K8)</f>
        <v>4</v>
      </c>
      <c r="M6">
        <v>1</v>
      </c>
      <c r="N6" t="s">
        <v>151</v>
      </c>
      <c r="O6">
        <f>K1</f>
        <v>16</v>
      </c>
    </row>
    <row r="7" spans="2:38" x14ac:dyDescent="0.4">
      <c r="B7">
        <v>3</v>
      </c>
      <c r="C7" t="s">
        <v>5</v>
      </c>
      <c r="D7" t="s">
        <v>32</v>
      </c>
      <c r="G7" t="s">
        <v>12</v>
      </c>
      <c r="I7">
        <v>1</v>
      </c>
      <c r="J7" t="s">
        <v>105</v>
      </c>
      <c r="K7">
        <v>1</v>
      </c>
    </row>
    <row r="8" spans="2:38" x14ac:dyDescent="0.4">
      <c r="B8">
        <v>2</v>
      </c>
      <c r="C8" t="s">
        <v>6</v>
      </c>
      <c r="D8" t="s">
        <v>33</v>
      </c>
      <c r="G8" t="s">
        <v>13</v>
      </c>
      <c r="I8">
        <v>3</v>
      </c>
      <c r="J8" t="s">
        <v>106</v>
      </c>
      <c r="K8">
        <v>3</v>
      </c>
      <c r="N8" s="1" t="s">
        <v>43</v>
      </c>
      <c r="O8" s="1">
        <f>SUM(O9:O14)</f>
        <v>96</v>
      </c>
      <c r="P8" s="1"/>
      <c r="R8" s="1" t="s">
        <v>39</v>
      </c>
      <c r="S8" s="1">
        <f>SUM(S9:S14)</f>
        <v>464</v>
      </c>
      <c r="T8" s="1"/>
      <c r="V8" s="1" t="s">
        <v>35</v>
      </c>
      <c r="W8" s="1">
        <f>SUM(W9:W14)</f>
        <v>2640</v>
      </c>
      <c r="X8" s="1"/>
      <c r="Z8" s="1" t="s">
        <v>24</v>
      </c>
      <c r="AA8" s="1">
        <f>SUM(AA9:AA14)</f>
        <v>14608</v>
      </c>
    </row>
    <row r="9" spans="2:38" x14ac:dyDescent="0.4">
      <c r="B9">
        <v>1</v>
      </c>
      <c r="C9" t="s">
        <v>7</v>
      </c>
      <c r="D9" t="s">
        <v>34</v>
      </c>
      <c r="G9" t="s">
        <v>15</v>
      </c>
      <c r="N9" t="s">
        <v>60</v>
      </c>
      <c r="O9">
        <f>K1</f>
        <v>16</v>
      </c>
      <c r="R9" t="s">
        <v>43</v>
      </c>
      <c r="S9">
        <f>O8</f>
        <v>96</v>
      </c>
      <c r="V9" t="s">
        <v>39</v>
      </c>
      <c r="W9">
        <f>S8</f>
        <v>464</v>
      </c>
      <c r="Z9" t="s">
        <v>35</v>
      </c>
      <c r="AA9">
        <f>W8</f>
        <v>2640</v>
      </c>
    </row>
    <row r="10" spans="2:38" x14ac:dyDescent="0.4">
      <c r="N10" t="s">
        <v>61</v>
      </c>
      <c r="O10">
        <f>K1</f>
        <v>16</v>
      </c>
      <c r="R10" t="s">
        <v>56</v>
      </c>
      <c r="S10">
        <f>O35</f>
        <v>64</v>
      </c>
      <c r="V10" t="s">
        <v>52</v>
      </c>
      <c r="W10">
        <f>S35</f>
        <v>400</v>
      </c>
      <c r="Z10" t="s">
        <v>47</v>
      </c>
      <c r="AA10">
        <f>W35</f>
        <v>2096</v>
      </c>
    </row>
    <row r="11" spans="2:38" x14ac:dyDescent="0.4">
      <c r="J11" t="s">
        <v>137</v>
      </c>
      <c r="N11" t="s">
        <v>62</v>
      </c>
      <c r="O11">
        <f>K1</f>
        <v>16</v>
      </c>
      <c r="R11" t="s">
        <v>57</v>
      </c>
      <c r="S11">
        <f>O42</f>
        <v>64</v>
      </c>
      <c r="V11" t="s">
        <v>53</v>
      </c>
      <c r="W11">
        <f>S42</f>
        <v>400</v>
      </c>
      <c r="Z11" t="s">
        <v>49</v>
      </c>
      <c r="AA11">
        <f>W42</f>
        <v>2240</v>
      </c>
    </row>
    <row r="12" spans="2:38" x14ac:dyDescent="0.4">
      <c r="B12">
        <v>10</v>
      </c>
      <c r="C12" t="s">
        <v>8</v>
      </c>
      <c r="I12">
        <v>1</v>
      </c>
      <c r="J12" t="s">
        <v>138</v>
      </c>
      <c r="K12">
        <f>K1</f>
        <v>16</v>
      </c>
      <c r="N12" t="s">
        <v>63</v>
      </c>
      <c r="O12">
        <f>K1</f>
        <v>16</v>
      </c>
      <c r="R12" t="s">
        <v>58</v>
      </c>
      <c r="S12">
        <f>O48</f>
        <v>64</v>
      </c>
      <c r="V12" t="s">
        <v>54</v>
      </c>
      <c r="W12">
        <f>S48</f>
        <v>400</v>
      </c>
      <c r="Z12" t="s">
        <v>50</v>
      </c>
      <c r="AA12">
        <f>W48</f>
        <v>2240</v>
      </c>
    </row>
    <row r="13" spans="2:38" x14ac:dyDescent="0.4">
      <c r="B13">
        <v>9</v>
      </c>
      <c r="C13" t="s">
        <v>9</v>
      </c>
      <c r="I13">
        <v>3</v>
      </c>
      <c r="J13" t="s">
        <v>139</v>
      </c>
      <c r="K13">
        <f>K1*I13</f>
        <v>48</v>
      </c>
      <c r="N13" t="s">
        <v>64</v>
      </c>
      <c r="O13">
        <f>K1</f>
        <v>16</v>
      </c>
      <c r="R13" t="s">
        <v>59</v>
      </c>
      <c r="S13">
        <f>O54</f>
        <v>64</v>
      </c>
      <c r="V13" t="s">
        <v>55</v>
      </c>
      <c r="W13">
        <f>S54</f>
        <v>400</v>
      </c>
      <c r="Z13" t="s">
        <v>51</v>
      </c>
      <c r="AA13">
        <f>W54</f>
        <v>2240</v>
      </c>
    </row>
    <row r="14" spans="2:38" x14ac:dyDescent="0.4">
      <c r="B14">
        <v>8</v>
      </c>
      <c r="C14" t="s">
        <v>10</v>
      </c>
      <c r="N14" t="s">
        <v>65</v>
      </c>
      <c r="O14">
        <f>K1</f>
        <v>16</v>
      </c>
      <c r="R14" t="s">
        <v>46</v>
      </c>
      <c r="S14">
        <f>O17</f>
        <v>112</v>
      </c>
      <c r="V14" t="s">
        <v>42</v>
      </c>
      <c r="W14">
        <f>S17</f>
        <v>576</v>
      </c>
      <c r="Z14" t="s">
        <v>38</v>
      </c>
      <c r="AA14">
        <f>W17</f>
        <v>3152</v>
      </c>
    </row>
    <row r="15" spans="2:38" x14ac:dyDescent="0.4">
      <c r="B15">
        <v>7</v>
      </c>
      <c r="C15" t="s">
        <v>11</v>
      </c>
    </row>
    <row r="16" spans="2:38" x14ac:dyDescent="0.4">
      <c r="B16">
        <v>6</v>
      </c>
      <c r="C16" t="s">
        <v>12</v>
      </c>
    </row>
    <row r="17" spans="2:27" x14ac:dyDescent="0.4">
      <c r="B17">
        <v>5</v>
      </c>
      <c r="C17" t="s">
        <v>13</v>
      </c>
      <c r="N17" s="1" t="s">
        <v>46</v>
      </c>
      <c r="O17" s="1">
        <f>SUM(O18:O24)</f>
        <v>112</v>
      </c>
      <c r="Q17" s="1"/>
      <c r="R17" s="1" t="s">
        <v>42</v>
      </c>
      <c r="S17" s="1">
        <f>SUM(S18:S24)</f>
        <v>576</v>
      </c>
      <c r="T17" s="1"/>
      <c r="V17" s="1" t="s">
        <v>38</v>
      </c>
      <c r="W17">
        <f>SUM(W18:W24)</f>
        <v>3152</v>
      </c>
      <c r="Z17" s="1" t="s">
        <v>26</v>
      </c>
      <c r="AA17">
        <f>SUM(AA18:AA24)</f>
        <v>17712</v>
      </c>
    </row>
    <row r="18" spans="2:27" x14ac:dyDescent="0.4">
      <c r="B18">
        <v>4</v>
      </c>
      <c r="C18" t="s">
        <v>14</v>
      </c>
      <c r="N18" t="s">
        <v>60</v>
      </c>
      <c r="O18">
        <f>K1</f>
        <v>16</v>
      </c>
      <c r="P18" s="1"/>
      <c r="R18" t="s">
        <v>43</v>
      </c>
      <c r="S18">
        <f>O8</f>
        <v>96</v>
      </c>
      <c r="V18" t="s">
        <v>39</v>
      </c>
      <c r="W18">
        <f>S8</f>
        <v>464</v>
      </c>
      <c r="Z18" t="s">
        <v>35</v>
      </c>
      <c r="AA18">
        <f>W8</f>
        <v>2640</v>
      </c>
    </row>
    <row r="19" spans="2:27" x14ac:dyDescent="0.4">
      <c r="B19">
        <v>3</v>
      </c>
      <c r="C19" t="s">
        <v>15</v>
      </c>
      <c r="N19" t="s">
        <v>84</v>
      </c>
      <c r="O19">
        <f>K1</f>
        <v>16</v>
      </c>
      <c r="R19" t="s">
        <v>78</v>
      </c>
      <c r="S19">
        <f>O78</f>
        <v>80</v>
      </c>
      <c r="V19" t="s">
        <v>72</v>
      </c>
      <c r="W19">
        <f>S78</f>
        <v>448</v>
      </c>
      <c r="Z19" t="s">
        <v>66</v>
      </c>
      <c r="AA19">
        <f>W78</f>
        <v>2384</v>
      </c>
    </row>
    <row r="20" spans="2:27" x14ac:dyDescent="0.4">
      <c r="B20">
        <v>2</v>
      </c>
      <c r="C20" t="s">
        <v>16</v>
      </c>
      <c r="N20" t="s">
        <v>85</v>
      </c>
      <c r="O20">
        <f>K1</f>
        <v>16</v>
      </c>
      <c r="R20" t="s">
        <v>79</v>
      </c>
      <c r="S20">
        <f>O84</f>
        <v>80</v>
      </c>
      <c r="V20" t="s">
        <v>73</v>
      </c>
      <c r="W20">
        <f>S84</f>
        <v>448</v>
      </c>
      <c r="Z20" t="s">
        <v>67</v>
      </c>
      <c r="AA20">
        <f>W84</f>
        <v>2384</v>
      </c>
    </row>
    <row r="21" spans="2:27" x14ac:dyDescent="0.4">
      <c r="B21">
        <v>1</v>
      </c>
      <c r="C21" t="s">
        <v>17</v>
      </c>
      <c r="N21" t="s">
        <v>86</v>
      </c>
      <c r="O21">
        <f>K1</f>
        <v>16</v>
      </c>
      <c r="R21" t="s">
        <v>80</v>
      </c>
      <c r="S21">
        <f>O90</f>
        <v>80</v>
      </c>
      <c r="V21" t="s">
        <v>74</v>
      </c>
      <c r="W21">
        <f>S90</f>
        <v>448</v>
      </c>
      <c r="Z21" t="s">
        <v>68</v>
      </c>
      <c r="AA21">
        <f>W90</f>
        <v>2384</v>
      </c>
    </row>
    <row r="22" spans="2:27" x14ac:dyDescent="0.4">
      <c r="N22" t="s">
        <v>87</v>
      </c>
      <c r="O22">
        <f>K1</f>
        <v>16</v>
      </c>
      <c r="R22" t="s">
        <v>81</v>
      </c>
      <c r="S22">
        <f>O96</f>
        <v>80</v>
      </c>
      <c r="V22" t="s">
        <v>75</v>
      </c>
      <c r="W22">
        <f>S96</f>
        <v>448</v>
      </c>
      <c r="Z22" t="s">
        <v>69</v>
      </c>
      <c r="AA22">
        <f>W96</f>
        <v>2384</v>
      </c>
    </row>
    <row r="23" spans="2:27" x14ac:dyDescent="0.4">
      <c r="N23" t="s">
        <v>88</v>
      </c>
      <c r="O23">
        <f>K1</f>
        <v>16</v>
      </c>
      <c r="R23" t="s">
        <v>82</v>
      </c>
      <c r="S23">
        <f>O102</f>
        <v>80</v>
      </c>
      <c r="V23" t="s">
        <v>76</v>
      </c>
      <c r="W23">
        <f>S102</f>
        <v>448</v>
      </c>
      <c r="Z23" t="s">
        <v>70</v>
      </c>
      <c r="AA23">
        <f>W102</f>
        <v>2384</v>
      </c>
    </row>
    <row r="24" spans="2:27" x14ac:dyDescent="0.4">
      <c r="B24">
        <v>1</v>
      </c>
      <c r="C24" t="s">
        <v>18</v>
      </c>
      <c r="N24" t="s">
        <v>89</v>
      </c>
      <c r="O24">
        <f>K1</f>
        <v>16</v>
      </c>
      <c r="R24" t="s">
        <v>83</v>
      </c>
      <c r="S24">
        <f>O108</f>
        <v>80</v>
      </c>
      <c r="V24" t="s">
        <v>77</v>
      </c>
      <c r="W24">
        <f>S108</f>
        <v>448</v>
      </c>
      <c r="Z24" t="s">
        <v>71</v>
      </c>
      <c r="AA24">
        <f>W17</f>
        <v>3152</v>
      </c>
    </row>
    <row r="25" spans="2:27" x14ac:dyDescent="0.4">
      <c r="B25">
        <v>2</v>
      </c>
      <c r="C25" t="s">
        <v>19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2:27" x14ac:dyDescent="0.4">
      <c r="B26">
        <v>3</v>
      </c>
      <c r="C26" t="s">
        <v>20</v>
      </c>
      <c r="P26" s="1"/>
    </row>
    <row r="27" spans="2:27" x14ac:dyDescent="0.4">
      <c r="B27">
        <v>4</v>
      </c>
      <c r="C27" t="s">
        <v>21</v>
      </c>
      <c r="N27" s="1" t="s">
        <v>45</v>
      </c>
      <c r="O27" s="1">
        <f>SUM(O28:O32)</f>
        <v>80</v>
      </c>
      <c r="Q27" s="1"/>
      <c r="R27" s="1" t="s">
        <v>41</v>
      </c>
      <c r="S27">
        <f>SUM(S28:S32)</f>
        <v>448</v>
      </c>
      <c r="U27" s="1"/>
      <c r="V27" s="1" t="s">
        <v>37</v>
      </c>
      <c r="W27">
        <f>SUM(W28:W32)</f>
        <v>2384</v>
      </c>
      <c r="Z27" s="1" t="s">
        <v>25</v>
      </c>
      <c r="AA27" s="1">
        <f>SUM(AA28:AA32)</f>
        <v>12944</v>
      </c>
    </row>
    <row r="28" spans="2:27" x14ac:dyDescent="0.4">
      <c r="B28">
        <v>5</v>
      </c>
      <c r="C28" t="s">
        <v>22</v>
      </c>
      <c r="N28" t="s">
        <v>60</v>
      </c>
      <c r="O28">
        <f>K1</f>
        <v>16</v>
      </c>
      <c r="R28" t="s">
        <v>43</v>
      </c>
      <c r="S28">
        <f>O8</f>
        <v>96</v>
      </c>
      <c r="V28" t="s">
        <v>39</v>
      </c>
      <c r="W28">
        <f>S8</f>
        <v>464</v>
      </c>
      <c r="Z28" t="s">
        <v>35</v>
      </c>
      <c r="AA28">
        <f>W8</f>
        <v>2640</v>
      </c>
    </row>
    <row r="29" spans="2:27" x14ac:dyDescent="0.4">
      <c r="B29">
        <v>6</v>
      </c>
      <c r="C29" t="s">
        <v>23</v>
      </c>
      <c r="N29" t="s">
        <v>99</v>
      </c>
      <c r="O29">
        <f>K1</f>
        <v>16</v>
      </c>
      <c r="R29" t="s">
        <v>96</v>
      </c>
      <c r="S29">
        <f>O114</f>
        <v>80</v>
      </c>
      <c r="V29" t="s">
        <v>93</v>
      </c>
      <c r="W29">
        <f>S114</f>
        <v>448</v>
      </c>
      <c r="Z29" t="s">
        <v>90</v>
      </c>
      <c r="AA29">
        <f>W114</f>
        <v>2384</v>
      </c>
    </row>
    <row r="30" spans="2:27" x14ac:dyDescent="0.4">
      <c r="N30" t="s">
        <v>100</v>
      </c>
      <c r="O30">
        <f>K1</f>
        <v>16</v>
      </c>
      <c r="R30" t="s">
        <v>97</v>
      </c>
      <c r="S30">
        <f>O120</f>
        <v>80</v>
      </c>
      <c r="V30" t="s">
        <v>94</v>
      </c>
      <c r="W30">
        <f>S120</f>
        <v>448</v>
      </c>
      <c r="Z30" t="s">
        <v>91</v>
      </c>
      <c r="AA30">
        <f>W120</f>
        <v>2384</v>
      </c>
    </row>
    <row r="31" spans="2:27" x14ac:dyDescent="0.4">
      <c r="N31" t="s">
        <v>101</v>
      </c>
      <c r="O31">
        <f>K1</f>
        <v>16</v>
      </c>
      <c r="R31" t="s">
        <v>98</v>
      </c>
      <c r="S31">
        <f>O126</f>
        <v>80</v>
      </c>
      <c r="V31" t="s">
        <v>95</v>
      </c>
      <c r="W31">
        <f>S126</f>
        <v>448</v>
      </c>
      <c r="Z31" t="s">
        <v>92</v>
      </c>
      <c r="AA31">
        <f>W126</f>
        <v>2384</v>
      </c>
    </row>
    <row r="32" spans="2:27" x14ac:dyDescent="0.4">
      <c r="N32" t="s">
        <v>65</v>
      </c>
      <c r="O32">
        <f>K1</f>
        <v>16</v>
      </c>
      <c r="R32" t="s">
        <v>46</v>
      </c>
      <c r="S32">
        <f>O17</f>
        <v>112</v>
      </c>
      <c r="V32" t="s">
        <v>42</v>
      </c>
      <c r="W32">
        <f>S17</f>
        <v>576</v>
      </c>
      <c r="Z32" t="s">
        <v>38</v>
      </c>
      <c r="AA32">
        <f>W17</f>
        <v>3152</v>
      </c>
    </row>
    <row r="33" spans="13:26" x14ac:dyDescent="0.4">
      <c r="P33" s="1"/>
    </row>
    <row r="35" spans="13:26" x14ac:dyDescent="0.4">
      <c r="M35">
        <v>3</v>
      </c>
      <c r="N35" s="1" t="s">
        <v>107</v>
      </c>
      <c r="O35" s="1">
        <f>SUM(O36:O39)</f>
        <v>64</v>
      </c>
      <c r="R35" s="1" t="s">
        <v>52</v>
      </c>
      <c r="S35" s="1">
        <f>SUM(S36:S39)</f>
        <v>400</v>
      </c>
      <c r="T35" s="1"/>
      <c r="U35" s="1"/>
      <c r="V35" s="1" t="s">
        <v>47</v>
      </c>
      <c r="W35" s="1">
        <f>SUM(W36:W39)</f>
        <v>2096</v>
      </c>
      <c r="X35" s="1"/>
      <c r="Y35" s="1"/>
      <c r="Z35" s="1"/>
    </row>
    <row r="36" spans="13:26" x14ac:dyDescent="0.4">
      <c r="N36" s="2" t="s">
        <v>60</v>
      </c>
      <c r="O36">
        <f>K1</f>
        <v>16</v>
      </c>
      <c r="R36" t="s">
        <v>43</v>
      </c>
      <c r="S36">
        <f>O8</f>
        <v>96</v>
      </c>
      <c r="V36" t="s">
        <v>39</v>
      </c>
      <c r="W36">
        <f>S8</f>
        <v>464</v>
      </c>
    </row>
    <row r="37" spans="13:26" x14ac:dyDescent="0.4">
      <c r="N37" s="2" t="s">
        <v>65</v>
      </c>
      <c r="O37">
        <f>K1</f>
        <v>16</v>
      </c>
      <c r="R37" t="s">
        <v>46</v>
      </c>
      <c r="S37">
        <f>O17</f>
        <v>112</v>
      </c>
      <c r="V37" t="s">
        <v>42</v>
      </c>
      <c r="W37">
        <f>S17</f>
        <v>576</v>
      </c>
    </row>
    <row r="38" spans="13:26" x14ac:dyDescent="0.4">
      <c r="N38" s="2" t="s">
        <v>108</v>
      </c>
      <c r="O38">
        <f>K1</f>
        <v>16</v>
      </c>
      <c r="P38" s="1"/>
      <c r="R38" t="s">
        <v>113</v>
      </c>
      <c r="S38">
        <f>O60</f>
        <v>80</v>
      </c>
      <c r="V38" t="s">
        <v>132</v>
      </c>
      <c r="W38">
        <f>S60</f>
        <v>448</v>
      </c>
    </row>
    <row r="39" spans="13:26" x14ac:dyDescent="0.4">
      <c r="N39" s="2" t="s">
        <v>109</v>
      </c>
      <c r="O39">
        <f>K1</f>
        <v>16</v>
      </c>
      <c r="R39" t="s">
        <v>114</v>
      </c>
      <c r="S39">
        <f>O68</f>
        <v>112</v>
      </c>
      <c r="V39" t="s">
        <v>133</v>
      </c>
      <c r="W39">
        <f>S68</f>
        <v>608</v>
      </c>
    </row>
    <row r="42" spans="13:26" x14ac:dyDescent="0.4">
      <c r="N42" s="1" t="s">
        <v>57</v>
      </c>
      <c r="O42" s="1">
        <f>SUM(O43:O44)</f>
        <v>64</v>
      </c>
      <c r="Q42" s="1"/>
      <c r="R42" s="1" t="s">
        <v>53</v>
      </c>
      <c r="S42" s="1">
        <f>SUM(S43:S45)</f>
        <v>400</v>
      </c>
      <c r="T42" s="1"/>
      <c r="U42" s="1"/>
      <c r="V42" s="1" t="s">
        <v>48</v>
      </c>
      <c r="W42" s="1">
        <f>SUM(W43:W45)</f>
        <v>2240</v>
      </c>
      <c r="X42" s="1"/>
      <c r="Y42" s="1"/>
      <c r="Z42" s="1"/>
    </row>
    <row r="43" spans="13:26" x14ac:dyDescent="0.4">
      <c r="N43" t="s">
        <v>60</v>
      </c>
      <c r="O43">
        <f>K1</f>
        <v>16</v>
      </c>
      <c r="P43" s="1"/>
      <c r="R43" t="s">
        <v>43</v>
      </c>
      <c r="S43">
        <f>O8</f>
        <v>96</v>
      </c>
      <c r="V43" t="s">
        <v>39</v>
      </c>
      <c r="W43">
        <f>S8</f>
        <v>464</v>
      </c>
    </row>
    <row r="44" spans="13:26" x14ac:dyDescent="0.4">
      <c r="N44" t="s">
        <v>110</v>
      </c>
      <c r="O44">
        <f>K1*M35</f>
        <v>48</v>
      </c>
      <c r="R44" t="s">
        <v>46</v>
      </c>
      <c r="S44">
        <f>O17</f>
        <v>112</v>
      </c>
      <c r="V44" t="s">
        <v>42</v>
      </c>
      <c r="W44">
        <f>S17</f>
        <v>576</v>
      </c>
    </row>
    <row r="45" spans="13:26" x14ac:dyDescent="0.4">
      <c r="Q45">
        <v>3</v>
      </c>
      <c r="R45" t="s">
        <v>57</v>
      </c>
      <c r="S45">
        <f>O42*Q45</f>
        <v>192</v>
      </c>
      <c r="U45">
        <v>3</v>
      </c>
      <c r="V45" t="s">
        <v>53</v>
      </c>
      <c r="W45">
        <f>S42*U45</f>
        <v>1200</v>
      </c>
    </row>
    <row r="48" spans="13:26" x14ac:dyDescent="0.4">
      <c r="N48" s="1" t="s">
        <v>111</v>
      </c>
      <c r="O48" s="1">
        <f>SUM(O49:O50)</f>
        <v>64</v>
      </c>
      <c r="R48" s="1" t="s">
        <v>54</v>
      </c>
      <c r="S48" s="1">
        <f>SUM(S49:S51)</f>
        <v>400</v>
      </c>
      <c r="T48" s="1"/>
      <c r="U48" s="1"/>
      <c r="V48" s="1" t="s">
        <v>146</v>
      </c>
      <c r="W48" s="1">
        <f>SUM(W49:W51)</f>
        <v>2240</v>
      </c>
      <c r="X48" s="1"/>
      <c r="Y48" s="1"/>
      <c r="Z48" s="1"/>
    </row>
    <row r="49" spans="13:26" x14ac:dyDescent="0.4">
      <c r="N49" t="s">
        <v>60</v>
      </c>
      <c r="O49">
        <f>K1</f>
        <v>16</v>
      </c>
      <c r="P49" s="1"/>
      <c r="R49" t="s">
        <v>43</v>
      </c>
      <c r="S49">
        <f>O8</f>
        <v>96</v>
      </c>
      <c r="V49" t="s">
        <v>39</v>
      </c>
      <c r="W49">
        <f>S8</f>
        <v>464</v>
      </c>
    </row>
    <row r="50" spans="13:26" x14ac:dyDescent="0.4">
      <c r="M50">
        <v>3</v>
      </c>
      <c r="N50" t="s">
        <v>63</v>
      </c>
      <c r="O50">
        <f>M50*K1</f>
        <v>48</v>
      </c>
      <c r="R50" t="s">
        <v>46</v>
      </c>
      <c r="S50">
        <f>O17</f>
        <v>112</v>
      </c>
      <c r="V50" t="s">
        <v>42</v>
      </c>
      <c r="W50">
        <f>S17</f>
        <v>576</v>
      </c>
    </row>
    <row r="51" spans="13:26" x14ac:dyDescent="0.4">
      <c r="Q51">
        <v>3</v>
      </c>
      <c r="R51" t="s">
        <v>58</v>
      </c>
      <c r="S51">
        <f>O48*3</f>
        <v>192</v>
      </c>
      <c r="U51">
        <v>3</v>
      </c>
      <c r="V51" t="s">
        <v>147</v>
      </c>
      <c r="W51">
        <f>S48*U51</f>
        <v>1200</v>
      </c>
    </row>
    <row r="54" spans="13:26" x14ac:dyDescent="0.4">
      <c r="N54" s="1" t="s">
        <v>59</v>
      </c>
      <c r="O54" s="1">
        <f>SUM(O55:O56)</f>
        <v>64</v>
      </c>
      <c r="R54" s="1" t="s">
        <v>55</v>
      </c>
      <c r="S54" s="1">
        <f>SUM(S55:S57)</f>
        <v>400</v>
      </c>
      <c r="T54" s="1"/>
      <c r="U54" s="1"/>
      <c r="V54" s="1" t="s">
        <v>148</v>
      </c>
      <c r="W54" s="1">
        <f>SUM(W55:W57)</f>
        <v>2240</v>
      </c>
      <c r="X54" s="1"/>
      <c r="Y54" s="1"/>
      <c r="Z54" s="1"/>
    </row>
    <row r="55" spans="13:26" x14ac:dyDescent="0.4">
      <c r="N55" t="s">
        <v>60</v>
      </c>
      <c r="O55">
        <f>K1</f>
        <v>16</v>
      </c>
      <c r="R55" t="s">
        <v>43</v>
      </c>
      <c r="S55">
        <f>O8</f>
        <v>96</v>
      </c>
      <c r="V55" t="s">
        <v>39</v>
      </c>
      <c r="W55">
        <f>S8</f>
        <v>464</v>
      </c>
    </row>
    <row r="56" spans="13:26" x14ac:dyDescent="0.4">
      <c r="M56">
        <v>3</v>
      </c>
      <c r="N56" t="s">
        <v>112</v>
      </c>
      <c r="O56">
        <f>K1*M50</f>
        <v>48</v>
      </c>
      <c r="R56" t="s">
        <v>46</v>
      </c>
      <c r="S56">
        <f>O17</f>
        <v>112</v>
      </c>
      <c r="V56" t="s">
        <v>42</v>
      </c>
      <c r="W56">
        <f>S17</f>
        <v>576</v>
      </c>
    </row>
    <row r="57" spans="13:26" x14ac:dyDescent="0.4">
      <c r="Q57">
        <v>3</v>
      </c>
      <c r="R57" t="s">
        <v>59</v>
      </c>
      <c r="S57">
        <f>O54*Q57</f>
        <v>192</v>
      </c>
      <c r="U57">
        <v>3</v>
      </c>
      <c r="V57" t="s">
        <v>55</v>
      </c>
      <c r="W57">
        <f>S54*U57</f>
        <v>1200</v>
      </c>
    </row>
    <row r="58" spans="13:26" x14ac:dyDescent="0.4">
      <c r="P58" s="1"/>
    </row>
    <row r="59" spans="13:26" x14ac:dyDescent="0.4">
      <c r="P59" s="1"/>
    </row>
    <row r="60" spans="13:26" x14ac:dyDescent="0.4">
      <c r="N60" s="1" t="s">
        <v>113</v>
      </c>
      <c r="O60" s="1">
        <f>SUM(O61:O65)</f>
        <v>80</v>
      </c>
      <c r="R60" s="1" t="s">
        <v>132</v>
      </c>
      <c r="S60" s="1">
        <f>SUM(S61:S65)</f>
        <v>448</v>
      </c>
    </row>
    <row r="61" spans="13:26" x14ac:dyDescent="0.4">
      <c r="N61" t="s">
        <v>60</v>
      </c>
      <c r="O61">
        <f>K1</f>
        <v>16</v>
      </c>
      <c r="R61" t="s">
        <v>43</v>
      </c>
      <c r="S61">
        <f>O8</f>
        <v>96</v>
      </c>
    </row>
    <row r="62" spans="13:26" x14ac:dyDescent="0.4">
      <c r="N62" t="s">
        <v>65</v>
      </c>
      <c r="O62">
        <f>K1</f>
        <v>16</v>
      </c>
      <c r="R62" t="s">
        <v>46</v>
      </c>
      <c r="S62">
        <f>O17</f>
        <v>112</v>
      </c>
    </row>
    <row r="63" spans="13:26" x14ac:dyDescent="0.4">
      <c r="N63" t="s">
        <v>115</v>
      </c>
      <c r="O63">
        <f>K1</f>
        <v>16</v>
      </c>
      <c r="R63" t="s">
        <v>134</v>
      </c>
      <c r="S63">
        <f>O60</f>
        <v>80</v>
      </c>
    </row>
    <row r="64" spans="13:26" x14ac:dyDescent="0.4">
      <c r="N64" t="s">
        <v>116</v>
      </c>
      <c r="O64">
        <f>K1</f>
        <v>16</v>
      </c>
      <c r="R64" t="s">
        <v>135</v>
      </c>
      <c r="S64">
        <f>O60</f>
        <v>80</v>
      </c>
    </row>
    <row r="65" spans="13:26" x14ac:dyDescent="0.4">
      <c r="N65" t="s">
        <v>117</v>
      </c>
      <c r="O65">
        <f>K1</f>
        <v>16</v>
      </c>
      <c r="R65" t="s">
        <v>136</v>
      </c>
      <c r="S65">
        <f>O60</f>
        <v>80</v>
      </c>
    </row>
    <row r="68" spans="13:26" x14ac:dyDescent="0.4">
      <c r="N68" s="1" t="s">
        <v>118</v>
      </c>
      <c r="O68" s="1">
        <f>SUM(O69:O75)</f>
        <v>112</v>
      </c>
      <c r="Q68" s="1"/>
      <c r="R68" s="1" t="s">
        <v>133</v>
      </c>
      <c r="S68" s="1">
        <f>SUM(S69:S75)</f>
        <v>608</v>
      </c>
      <c r="T68" s="1"/>
      <c r="U68" s="1"/>
      <c r="V68" s="1"/>
      <c r="W68" s="1"/>
      <c r="X68" s="1"/>
      <c r="Y68" s="1"/>
      <c r="Z68" s="1"/>
    </row>
    <row r="69" spans="13:26" x14ac:dyDescent="0.4">
      <c r="N69" t="s">
        <v>60</v>
      </c>
      <c r="O69">
        <f>K1</f>
        <v>16</v>
      </c>
      <c r="P69" s="1"/>
      <c r="R69" t="s">
        <v>43</v>
      </c>
      <c r="S69">
        <f>O8</f>
        <v>96</v>
      </c>
    </row>
    <row r="70" spans="13:26" x14ac:dyDescent="0.4">
      <c r="N70" t="s">
        <v>65</v>
      </c>
      <c r="O70">
        <f>K1</f>
        <v>16</v>
      </c>
      <c r="R70" t="s">
        <v>46</v>
      </c>
      <c r="S70">
        <f>O17</f>
        <v>112</v>
      </c>
    </row>
    <row r="71" spans="13:26" x14ac:dyDescent="0.4">
      <c r="N71" t="s">
        <v>119</v>
      </c>
      <c r="O71">
        <f>K1</f>
        <v>16</v>
      </c>
      <c r="R71" t="s">
        <v>140</v>
      </c>
      <c r="S71">
        <f>O132</f>
        <v>80</v>
      </c>
    </row>
    <row r="72" spans="13:26" x14ac:dyDescent="0.4">
      <c r="M72">
        <v>3</v>
      </c>
      <c r="N72" t="s">
        <v>120</v>
      </c>
      <c r="O72">
        <f>K1</f>
        <v>16</v>
      </c>
      <c r="R72" t="s">
        <v>141</v>
      </c>
      <c r="S72">
        <f>O132</f>
        <v>80</v>
      </c>
    </row>
    <row r="73" spans="13:26" x14ac:dyDescent="0.4">
      <c r="N73" t="s">
        <v>121</v>
      </c>
      <c r="O73">
        <f>K1</f>
        <v>16</v>
      </c>
      <c r="R73" t="s">
        <v>142</v>
      </c>
      <c r="S73">
        <f>O132</f>
        <v>80</v>
      </c>
    </row>
    <row r="74" spans="13:26" x14ac:dyDescent="0.4">
      <c r="N74" t="s">
        <v>122</v>
      </c>
      <c r="O74">
        <f>K1</f>
        <v>16</v>
      </c>
      <c r="Q74" s="1"/>
      <c r="R74" s="2" t="s">
        <v>143</v>
      </c>
      <c r="S74" s="2">
        <f>O132</f>
        <v>80</v>
      </c>
      <c r="T74" s="1"/>
      <c r="U74" s="1"/>
      <c r="V74" s="1"/>
      <c r="W74" s="1"/>
      <c r="X74" s="1"/>
      <c r="Y74" s="1"/>
      <c r="Z74" s="1"/>
    </row>
    <row r="75" spans="13:26" x14ac:dyDescent="0.4">
      <c r="N75" t="s">
        <v>123</v>
      </c>
      <c r="O75">
        <f>K1</f>
        <v>16</v>
      </c>
      <c r="P75" s="1"/>
      <c r="R75" s="2" t="s">
        <v>144</v>
      </c>
      <c r="S75">
        <f>O132</f>
        <v>80</v>
      </c>
    </row>
    <row r="78" spans="13:26" x14ac:dyDescent="0.4">
      <c r="N78" s="1" t="s">
        <v>124</v>
      </c>
      <c r="O78" s="1">
        <f>SUM(O79:O81)</f>
        <v>80</v>
      </c>
      <c r="R78" s="1" t="s">
        <v>128</v>
      </c>
      <c r="S78" s="1">
        <f>SUM(S79:S81)</f>
        <v>448</v>
      </c>
      <c r="V78" s="1" t="s">
        <v>66</v>
      </c>
      <c r="W78" s="1">
        <f>SUM(W79:W81)</f>
        <v>2384</v>
      </c>
    </row>
    <row r="79" spans="13:26" x14ac:dyDescent="0.4">
      <c r="N79" t="s">
        <v>60</v>
      </c>
      <c r="O79">
        <f>K1</f>
        <v>16</v>
      </c>
      <c r="Q79">
        <v>1</v>
      </c>
      <c r="R79" t="s">
        <v>129</v>
      </c>
      <c r="S79">
        <f>O8</f>
        <v>96</v>
      </c>
      <c r="U79">
        <v>1</v>
      </c>
      <c r="V79" t="s">
        <v>39</v>
      </c>
      <c r="W79">
        <f>$S$8</f>
        <v>464</v>
      </c>
    </row>
    <row r="80" spans="13:26" x14ac:dyDescent="0.4">
      <c r="N80" t="s">
        <v>65</v>
      </c>
      <c r="O80">
        <f>K1</f>
        <v>16</v>
      </c>
      <c r="Q80" s="2">
        <v>1</v>
      </c>
      <c r="R80" s="2" t="s">
        <v>130</v>
      </c>
      <c r="S80" s="2">
        <f>O17</f>
        <v>112</v>
      </c>
      <c r="T80" s="1"/>
      <c r="U80" s="2">
        <v>1</v>
      </c>
      <c r="V80" s="2" t="s">
        <v>42</v>
      </c>
      <c r="W80" s="2">
        <f>$S$17</f>
        <v>576</v>
      </c>
      <c r="X80" s="1"/>
      <c r="Y80" s="1"/>
      <c r="Z80" s="1"/>
    </row>
    <row r="81" spans="13:26" x14ac:dyDescent="0.4">
      <c r="M81">
        <v>3</v>
      </c>
      <c r="N81" t="s">
        <v>84</v>
      </c>
      <c r="O81">
        <f>K1*M72</f>
        <v>48</v>
      </c>
      <c r="P81" s="1"/>
      <c r="Q81">
        <v>3</v>
      </c>
      <c r="R81" s="2" t="s">
        <v>78</v>
      </c>
      <c r="S81">
        <f>O78*Q81</f>
        <v>240</v>
      </c>
      <c r="U81">
        <v>3</v>
      </c>
      <c r="V81" t="s">
        <v>72</v>
      </c>
      <c r="W81">
        <f>S78*U81</f>
        <v>1344</v>
      </c>
    </row>
    <row r="84" spans="13:26" x14ac:dyDescent="0.4">
      <c r="N84" s="1" t="s">
        <v>125</v>
      </c>
      <c r="O84" s="1">
        <f>SUM(O85:O87)</f>
        <v>80</v>
      </c>
      <c r="Q84" s="1"/>
      <c r="R84" s="1" t="s">
        <v>131</v>
      </c>
      <c r="S84" s="1">
        <f>SUM(S85:S87)</f>
        <v>448</v>
      </c>
      <c r="V84" s="1" t="s">
        <v>67</v>
      </c>
      <c r="W84" s="1">
        <f>SUM(W85:W87)</f>
        <v>2384</v>
      </c>
    </row>
    <row r="85" spans="13:26" x14ac:dyDescent="0.4">
      <c r="N85" t="s">
        <v>60</v>
      </c>
      <c r="O85">
        <f>K1</f>
        <v>16</v>
      </c>
      <c r="Q85">
        <v>1</v>
      </c>
      <c r="R85" t="s">
        <v>129</v>
      </c>
      <c r="S85">
        <f>O8</f>
        <v>96</v>
      </c>
      <c r="U85">
        <v>1</v>
      </c>
      <c r="V85" t="s">
        <v>39</v>
      </c>
      <c r="W85">
        <f>$S$8</f>
        <v>464</v>
      </c>
    </row>
    <row r="86" spans="13:26" x14ac:dyDescent="0.4">
      <c r="N86" t="s">
        <v>65</v>
      </c>
      <c r="O86">
        <f>K1</f>
        <v>16</v>
      </c>
      <c r="Q86" s="2">
        <v>1</v>
      </c>
      <c r="R86" s="2" t="s">
        <v>130</v>
      </c>
      <c r="S86" s="2">
        <f>O17</f>
        <v>112</v>
      </c>
      <c r="T86" s="1"/>
      <c r="U86" s="2">
        <v>1</v>
      </c>
      <c r="V86" s="2" t="s">
        <v>42</v>
      </c>
      <c r="W86" s="2">
        <f>$S$17</f>
        <v>576</v>
      </c>
      <c r="X86" s="1"/>
      <c r="Y86" s="1"/>
      <c r="Z86" s="1"/>
    </row>
    <row r="87" spans="13:26" x14ac:dyDescent="0.4">
      <c r="M87">
        <v>3</v>
      </c>
      <c r="N87" t="s">
        <v>126</v>
      </c>
      <c r="O87">
        <f>K1*M81</f>
        <v>48</v>
      </c>
      <c r="P87" s="1"/>
      <c r="Q87">
        <v>3</v>
      </c>
      <c r="R87" s="2" t="s">
        <v>79</v>
      </c>
      <c r="S87">
        <f>O84*Q87</f>
        <v>240</v>
      </c>
      <c r="U87">
        <v>3</v>
      </c>
      <c r="V87" t="s">
        <v>73</v>
      </c>
      <c r="W87">
        <f>S84*U87</f>
        <v>1344</v>
      </c>
    </row>
    <row r="90" spans="13:26" x14ac:dyDescent="0.4">
      <c r="N90" s="1" t="s">
        <v>80</v>
      </c>
      <c r="O90" s="1">
        <f>SUM(O91:O93)</f>
        <v>80</v>
      </c>
      <c r="Q90" s="1"/>
      <c r="R90" s="1" t="s">
        <v>74</v>
      </c>
      <c r="S90" s="1">
        <f>SUM(S91:S93)</f>
        <v>448</v>
      </c>
      <c r="V90" s="1" t="s">
        <v>68</v>
      </c>
      <c r="W90" s="1">
        <f>SUM(W91:W93)</f>
        <v>2384</v>
      </c>
    </row>
    <row r="91" spans="13:26" x14ac:dyDescent="0.4">
      <c r="N91" t="s">
        <v>60</v>
      </c>
      <c r="O91">
        <f>K1</f>
        <v>16</v>
      </c>
      <c r="R91" t="s">
        <v>43</v>
      </c>
      <c r="S91">
        <f>O8</f>
        <v>96</v>
      </c>
      <c r="U91">
        <v>1</v>
      </c>
      <c r="V91" t="s">
        <v>39</v>
      </c>
      <c r="W91">
        <f>$S$8</f>
        <v>464</v>
      </c>
    </row>
    <row r="92" spans="13:26" x14ac:dyDescent="0.4">
      <c r="N92" t="s">
        <v>65</v>
      </c>
      <c r="O92">
        <f>K1</f>
        <v>16</v>
      </c>
      <c r="Q92" s="2"/>
      <c r="R92" s="2" t="s">
        <v>46</v>
      </c>
      <c r="S92" s="2">
        <f>O17</f>
        <v>112</v>
      </c>
      <c r="T92" s="1"/>
      <c r="U92" s="2">
        <v>1</v>
      </c>
      <c r="V92" s="2" t="s">
        <v>42</v>
      </c>
      <c r="W92" s="2">
        <f>$S$17</f>
        <v>576</v>
      </c>
      <c r="X92" s="1"/>
      <c r="Y92" s="1"/>
      <c r="Z92" s="1"/>
    </row>
    <row r="93" spans="13:26" x14ac:dyDescent="0.4">
      <c r="M93">
        <v>3</v>
      </c>
      <c r="N93" t="s">
        <v>86</v>
      </c>
      <c r="O93">
        <f>K1*M87</f>
        <v>48</v>
      </c>
      <c r="P93" s="1"/>
      <c r="Q93">
        <v>3</v>
      </c>
      <c r="R93" s="2" t="s">
        <v>80</v>
      </c>
      <c r="S93">
        <f>O90*Q93</f>
        <v>240</v>
      </c>
      <c r="U93">
        <v>3</v>
      </c>
      <c r="V93" t="s">
        <v>74</v>
      </c>
      <c r="W93">
        <f>S90*U93</f>
        <v>1344</v>
      </c>
    </row>
    <row r="96" spans="13:26" x14ac:dyDescent="0.4">
      <c r="N96" s="1" t="s">
        <v>81</v>
      </c>
      <c r="O96" s="1">
        <f>SUM(O97:O99)</f>
        <v>80</v>
      </c>
      <c r="Q96" s="1"/>
      <c r="R96" s="1" t="s">
        <v>75</v>
      </c>
      <c r="S96" s="1">
        <f>SUM(S97:S99)</f>
        <v>448</v>
      </c>
      <c r="V96" s="1" t="s">
        <v>69</v>
      </c>
      <c r="W96" s="1">
        <f>SUM(W97:W99)</f>
        <v>2384</v>
      </c>
    </row>
    <row r="97" spans="13:26" x14ac:dyDescent="0.4">
      <c r="N97" t="s">
        <v>60</v>
      </c>
      <c r="O97">
        <f>K1</f>
        <v>16</v>
      </c>
      <c r="R97" t="s">
        <v>43</v>
      </c>
      <c r="S97">
        <f>O8</f>
        <v>96</v>
      </c>
      <c r="U97">
        <v>1</v>
      </c>
      <c r="V97" t="s">
        <v>39</v>
      </c>
      <c r="W97">
        <f>$S$8</f>
        <v>464</v>
      </c>
    </row>
    <row r="98" spans="13:26" x14ac:dyDescent="0.4">
      <c r="N98" t="s">
        <v>65</v>
      </c>
      <c r="O98">
        <f>K1</f>
        <v>16</v>
      </c>
      <c r="Q98" s="2"/>
      <c r="R98" s="2" t="s">
        <v>46</v>
      </c>
      <c r="S98" s="2">
        <f>O17</f>
        <v>112</v>
      </c>
      <c r="T98" s="1"/>
      <c r="U98" s="2">
        <v>1</v>
      </c>
      <c r="V98" s="2" t="s">
        <v>42</v>
      </c>
      <c r="W98" s="2">
        <f>$S$17</f>
        <v>576</v>
      </c>
      <c r="X98" s="1"/>
      <c r="Y98" s="1"/>
      <c r="Z98" s="1"/>
    </row>
    <row r="99" spans="13:26" x14ac:dyDescent="0.4">
      <c r="M99">
        <v>3</v>
      </c>
      <c r="N99" t="s">
        <v>87</v>
      </c>
      <c r="O99">
        <f>K1*M93</f>
        <v>48</v>
      </c>
      <c r="P99" s="1"/>
      <c r="Q99">
        <v>3</v>
      </c>
      <c r="R99" t="s">
        <v>81</v>
      </c>
      <c r="S99">
        <f>O96*Q99</f>
        <v>240</v>
      </c>
      <c r="U99">
        <v>3</v>
      </c>
      <c r="V99" t="s">
        <v>75</v>
      </c>
      <c r="W99">
        <f>S96*U99</f>
        <v>1344</v>
      </c>
    </row>
    <row r="102" spans="13:26" x14ac:dyDescent="0.4">
      <c r="N102" s="1" t="s">
        <v>82</v>
      </c>
      <c r="O102" s="1">
        <f>SUM(O103:O105)</f>
        <v>80</v>
      </c>
      <c r="Q102" s="1"/>
      <c r="R102" s="1" t="s">
        <v>76</v>
      </c>
      <c r="S102" s="1">
        <f>SUM(S103:S105)</f>
        <v>448</v>
      </c>
      <c r="V102" s="1" t="s">
        <v>70</v>
      </c>
      <c r="W102" s="1">
        <f>SUM(W103:W105)</f>
        <v>2384</v>
      </c>
    </row>
    <row r="103" spans="13:26" x14ac:dyDescent="0.4">
      <c r="N103" t="s">
        <v>60</v>
      </c>
      <c r="O103">
        <f>K1</f>
        <v>16</v>
      </c>
      <c r="R103" t="s">
        <v>43</v>
      </c>
      <c r="S103">
        <f>O8</f>
        <v>96</v>
      </c>
      <c r="U103">
        <v>1</v>
      </c>
      <c r="V103" t="s">
        <v>39</v>
      </c>
      <c r="W103">
        <f>$S$8</f>
        <v>464</v>
      </c>
    </row>
    <row r="104" spans="13:26" x14ac:dyDescent="0.4">
      <c r="N104" t="s">
        <v>65</v>
      </c>
      <c r="O104">
        <f>K1</f>
        <v>16</v>
      </c>
      <c r="Q104" s="2"/>
      <c r="R104" s="2" t="s">
        <v>46</v>
      </c>
      <c r="S104" s="2">
        <f>O17</f>
        <v>112</v>
      </c>
      <c r="U104" s="2">
        <v>1</v>
      </c>
      <c r="V104" s="2" t="s">
        <v>42</v>
      </c>
      <c r="W104" s="2">
        <f>$S$17</f>
        <v>576</v>
      </c>
    </row>
    <row r="105" spans="13:26" x14ac:dyDescent="0.4">
      <c r="M105">
        <v>3</v>
      </c>
      <c r="N105" t="s">
        <v>88</v>
      </c>
      <c r="O105">
        <f>K1*M99</f>
        <v>48</v>
      </c>
      <c r="Q105">
        <v>3</v>
      </c>
      <c r="R105" t="s">
        <v>82</v>
      </c>
      <c r="S105">
        <f>O102*Q105</f>
        <v>240</v>
      </c>
      <c r="U105">
        <v>3</v>
      </c>
      <c r="V105" t="s">
        <v>76</v>
      </c>
      <c r="W105">
        <f>S102*U105</f>
        <v>1344</v>
      </c>
    </row>
    <row r="108" spans="13:26" x14ac:dyDescent="0.4">
      <c r="N108" s="1" t="s">
        <v>127</v>
      </c>
      <c r="O108" s="1">
        <f>SUM(O109:O111)</f>
        <v>80</v>
      </c>
      <c r="Q108" s="1"/>
      <c r="R108" s="1" t="s">
        <v>77</v>
      </c>
      <c r="S108" s="1">
        <f>SUM(S109:S111)</f>
        <v>448</v>
      </c>
      <c r="V108" s="1" t="s">
        <v>71</v>
      </c>
      <c r="W108" s="1">
        <f>SUM(W109:W111)</f>
        <v>2384</v>
      </c>
    </row>
    <row r="109" spans="13:26" x14ac:dyDescent="0.4">
      <c r="N109" t="s">
        <v>60</v>
      </c>
      <c r="O109">
        <f>K1</f>
        <v>16</v>
      </c>
      <c r="R109" t="s">
        <v>43</v>
      </c>
      <c r="S109">
        <f>O8</f>
        <v>96</v>
      </c>
      <c r="U109">
        <v>1</v>
      </c>
      <c r="V109" t="s">
        <v>39</v>
      </c>
      <c r="W109">
        <f>$S$8</f>
        <v>464</v>
      </c>
    </row>
    <row r="110" spans="13:26" x14ac:dyDescent="0.4">
      <c r="N110" t="s">
        <v>65</v>
      </c>
      <c r="O110">
        <f>K1</f>
        <v>16</v>
      </c>
      <c r="Q110" s="2"/>
      <c r="R110" s="2" t="s">
        <v>46</v>
      </c>
      <c r="S110" s="2">
        <f>O17</f>
        <v>112</v>
      </c>
      <c r="U110" s="2">
        <v>1</v>
      </c>
      <c r="V110" s="2" t="s">
        <v>42</v>
      </c>
      <c r="W110" s="2">
        <f>$S$17</f>
        <v>576</v>
      </c>
    </row>
    <row r="111" spans="13:26" x14ac:dyDescent="0.4">
      <c r="M111">
        <v>3</v>
      </c>
      <c r="N111" t="s">
        <v>89</v>
      </c>
      <c r="O111">
        <f>K1*M105</f>
        <v>48</v>
      </c>
      <c r="Q111">
        <v>3</v>
      </c>
      <c r="R111" t="s">
        <v>83</v>
      </c>
      <c r="S111">
        <f>O108*Q111</f>
        <v>240</v>
      </c>
      <c r="U111">
        <v>3</v>
      </c>
      <c r="V111" t="s">
        <v>77</v>
      </c>
      <c r="W111">
        <f>S108*U111</f>
        <v>1344</v>
      </c>
    </row>
    <row r="114" spans="13:23" x14ac:dyDescent="0.4">
      <c r="M114" s="1"/>
      <c r="N114" s="1" t="s">
        <v>96</v>
      </c>
      <c r="O114" s="1">
        <f>SUM(O115:O117)</f>
        <v>80</v>
      </c>
      <c r="Q114" s="1"/>
      <c r="R114" s="1" t="s">
        <v>93</v>
      </c>
      <c r="S114" s="1">
        <f>SUM(S115:S117)</f>
        <v>448</v>
      </c>
      <c r="V114" s="1" t="s">
        <v>90</v>
      </c>
      <c r="W114" s="1">
        <f>SUM(W115:W117)</f>
        <v>2384</v>
      </c>
    </row>
    <row r="115" spans="13:23" x14ac:dyDescent="0.4">
      <c r="M115">
        <v>1</v>
      </c>
      <c r="N115" t="s">
        <v>60</v>
      </c>
      <c r="O115">
        <f>K1</f>
        <v>16</v>
      </c>
      <c r="R115" t="s">
        <v>43</v>
      </c>
      <c r="S115">
        <f>O8</f>
        <v>96</v>
      </c>
      <c r="U115">
        <v>1</v>
      </c>
      <c r="V115" t="s">
        <v>39</v>
      </c>
      <c r="W115">
        <f>$S$8</f>
        <v>464</v>
      </c>
    </row>
    <row r="116" spans="13:23" x14ac:dyDescent="0.4">
      <c r="M116">
        <v>1</v>
      </c>
      <c r="N116" t="s">
        <v>65</v>
      </c>
      <c r="O116">
        <f>K1</f>
        <v>16</v>
      </c>
      <c r="R116" t="s">
        <v>46</v>
      </c>
      <c r="S116">
        <f>O17</f>
        <v>112</v>
      </c>
      <c r="U116" s="2">
        <v>1</v>
      </c>
      <c r="V116" s="2" t="s">
        <v>42</v>
      </c>
      <c r="W116" s="2">
        <f>$S$17</f>
        <v>576</v>
      </c>
    </row>
    <row r="117" spans="13:23" x14ac:dyDescent="0.4">
      <c r="M117">
        <v>3</v>
      </c>
      <c r="N117" t="s">
        <v>99</v>
      </c>
      <c r="O117">
        <f>K1*M117</f>
        <v>48</v>
      </c>
      <c r="Q117">
        <v>3</v>
      </c>
      <c r="R117" t="s">
        <v>96</v>
      </c>
      <c r="S117">
        <f>O114*Q117</f>
        <v>240</v>
      </c>
      <c r="U117">
        <v>3</v>
      </c>
      <c r="V117" t="s">
        <v>93</v>
      </c>
      <c r="W117">
        <f>S114*U117</f>
        <v>1344</v>
      </c>
    </row>
    <row r="120" spans="13:23" x14ac:dyDescent="0.4">
      <c r="M120" s="1"/>
      <c r="N120" s="1" t="s">
        <v>97</v>
      </c>
      <c r="O120" s="1">
        <f>SUM(O121:O123)</f>
        <v>80</v>
      </c>
      <c r="Q120" s="1"/>
      <c r="R120" s="1" t="s">
        <v>94</v>
      </c>
      <c r="S120" s="1">
        <f>SUM(S121:S123)</f>
        <v>448</v>
      </c>
      <c r="V120" s="1" t="s">
        <v>91</v>
      </c>
      <c r="W120" s="1">
        <f>SUM(W121:W123)</f>
        <v>2384</v>
      </c>
    </row>
    <row r="121" spans="13:23" x14ac:dyDescent="0.4">
      <c r="N121" t="s">
        <v>60</v>
      </c>
      <c r="O121">
        <f>K1</f>
        <v>16</v>
      </c>
      <c r="R121" t="s">
        <v>43</v>
      </c>
      <c r="S121">
        <f>O8</f>
        <v>96</v>
      </c>
      <c r="U121">
        <v>1</v>
      </c>
      <c r="V121" t="s">
        <v>39</v>
      </c>
      <c r="W121">
        <f>$S$8</f>
        <v>464</v>
      </c>
    </row>
    <row r="122" spans="13:23" x14ac:dyDescent="0.4">
      <c r="N122" t="s">
        <v>65</v>
      </c>
      <c r="O122">
        <f>K1</f>
        <v>16</v>
      </c>
      <c r="R122" t="s">
        <v>46</v>
      </c>
      <c r="S122">
        <f>O17</f>
        <v>112</v>
      </c>
      <c r="U122" s="2">
        <v>1</v>
      </c>
      <c r="V122" s="2" t="s">
        <v>42</v>
      </c>
      <c r="W122" s="2">
        <f>$S$17</f>
        <v>576</v>
      </c>
    </row>
    <row r="123" spans="13:23" x14ac:dyDescent="0.4">
      <c r="M123">
        <v>3</v>
      </c>
      <c r="N123" t="s">
        <v>100</v>
      </c>
      <c r="O123">
        <f>K1*M123</f>
        <v>48</v>
      </c>
      <c r="Q123">
        <v>3</v>
      </c>
      <c r="R123" t="s">
        <v>97</v>
      </c>
      <c r="S123">
        <f>O120*Q123</f>
        <v>240</v>
      </c>
      <c r="U123">
        <v>3</v>
      </c>
      <c r="V123" t="s">
        <v>94</v>
      </c>
      <c r="W123">
        <f>S120*U123</f>
        <v>1344</v>
      </c>
    </row>
    <row r="126" spans="13:23" x14ac:dyDescent="0.4">
      <c r="M126" s="1"/>
      <c r="N126" s="1" t="s">
        <v>98</v>
      </c>
      <c r="O126" s="1">
        <f>SUM(O127:O129)</f>
        <v>80</v>
      </c>
      <c r="Q126" s="1"/>
      <c r="R126" s="1" t="s">
        <v>95</v>
      </c>
      <c r="S126" s="1">
        <f>SUM(S127:S129)</f>
        <v>448</v>
      </c>
      <c r="V126" s="1" t="s">
        <v>92</v>
      </c>
      <c r="W126" s="1">
        <f>SUM(W127:W129)</f>
        <v>2384</v>
      </c>
    </row>
    <row r="127" spans="13:23" x14ac:dyDescent="0.4">
      <c r="N127" t="s">
        <v>60</v>
      </c>
      <c r="O127">
        <f>K1</f>
        <v>16</v>
      </c>
      <c r="R127" t="s">
        <v>43</v>
      </c>
      <c r="S127">
        <f>O8</f>
        <v>96</v>
      </c>
      <c r="U127">
        <v>1</v>
      </c>
      <c r="V127" t="s">
        <v>39</v>
      </c>
      <c r="W127">
        <f>$S$8</f>
        <v>464</v>
      </c>
    </row>
    <row r="128" spans="13:23" x14ac:dyDescent="0.4">
      <c r="N128" t="s">
        <v>65</v>
      </c>
      <c r="O128">
        <f>K1</f>
        <v>16</v>
      </c>
      <c r="R128" t="s">
        <v>46</v>
      </c>
      <c r="S128">
        <f>O17</f>
        <v>112</v>
      </c>
      <c r="U128" s="2">
        <v>1</v>
      </c>
      <c r="V128" s="2" t="s">
        <v>42</v>
      </c>
      <c r="W128" s="2">
        <f>$S$17</f>
        <v>576</v>
      </c>
    </row>
    <row r="129" spans="13:23" x14ac:dyDescent="0.4">
      <c r="M129">
        <v>3</v>
      </c>
      <c r="N129" t="s">
        <v>101</v>
      </c>
      <c r="O129">
        <f>K1*M129</f>
        <v>48</v>
      </c>
      <c r="Q129">
        <v>3</v>
      </c>
      <c r="R129" t="s">
        <v>98</v>
      </c>
      <c r="S129">
        <f>O126*Q129</f>
        <v>240</v>
      </c>
      <c r="U129">
        <v>3</v>
      </c>
      <c r="V129" t="s">
        <v>95</v>
      </c>
      <c r="W129">
        <f>S126*U129</f>
        <v>1344</v>
      </c>
    </row>
    <row r="132" spans="13:23" x14ac:dyDescent="0.4">
      <c r="M132" s="1"/>
      <c r="N132" s="1" t="s">
        <v>145</v>
      </c>
      <c r="O132" s="1">
        <f>SUM(O133:O135)</f>
        <v>80</v>
      </c>
    </row>
    <row r="133" spans="13:23" x14ac:dyDescent="0.4">
      <c r="M133">
        <v>1</v>
      </c>
      <c r="N133" t="s">
        <v>60</v>
      </c>
      <c r="O133">
        <f>K1</f>
        <v>16</v>
      </c>
    </row>
    <row r="134" spans="13:23" x14ac:dyDescent="0.4">
      <c r="M134">
        <v>1</v>
      </c>
      <c r="N134" t="s">
        <v>65</v>
      </c>
      <c r="O134">
        <f>K1</f>
        <v>16</v>
      </c>
    </row>
    <row r="135" spans="13:23" x14ac:dyDescent="0.4">
      <c r="M135">
        <v>3</v>
      </c>
      <c r="N135" t="s">
        <v>109</v>
      </c>
      <c r="O135">
        <f>K1*M135</f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C937-F532-471C-AB6A-BFA8053E234C}">
  <dimension ref="A1:E89"/>
  <sheetViews>
    <sheetView tabSelected="1" topLeftCell="A44" workbookViewId="0">
      <selection activeCell="E92" sqref="E92"/>
    </sheetView>
  </sheetViews>
  <sheetFormatPr defaultRowHeight="14.6" x14ac:dyDescent="0.4"/>
  <cols>
    <col min="1" max="1" width="13.23046875" bestFit="1" customWidth="1"/>
    <col min="2" max="2" width="4.69140625" customWidth="1"/>
    <col min="3" max="3" width="32.765625" bestFit="1" customWidth="1"/>
    <col min="4" max="4" width="4.69140625" customWidth="1"/>
    <col min="5" max="5" width="19" bestFit="1" customWidth="1"/>
  </cols>
  <sheetData>
    <row r="1" spans="1:5" x14ac:dyDescent="0.4">
      <c r="A1" t="s">
        <v>152</v>
      </c>
    </row>
    <row r="2" spans="1:5" x14ac:dyDescent="0.4">
      <c r="A2" t="s">
        <v>153</v>
      </c>
      <c r="C2" s="1" t="s">
        <v>153</v>
      </c>
      <c r="E2" s="1" t="s">
        <v>171</v>
      </c>
    </row>
    <row r="3" spans="1:5" x14ac:dyDescent="0.4">
      <c r="A3" t="s">
        <v>154</v>
      </c>
      <c r="C3" t="s">
        <v>163</v>
      </c>
      <c r="E3" t="s">
        <v>163</v>
      </c>
    </row>
    <row r="4" spans="1:5" x14ac:dyDescent="0.4">
      <c r="A4" t="s">
        <v>155</v>
      </c>
      <c r="C4" t="s">
        <v>164</v>
      </c>
      <c r="E4" t="s">
        <v>164</v>
      </c>
    </row>
    <row r="5" spans="1:5" x14ac:dyDescent="0.4">
      <c r="A5" t="s">
        <v>156</v>
      </c>
      <c r="C5" t="s">
        <v>165</v>
      </c>
      <c r="E5" t="s">
        <v>165</v>
      </c>
    </row>
    <row r="6" spans="1:5" x14ac:dyDescent="0.4">
      <c r="A6" t="s">
        <v>157</v>
      </c>
      <c r="C6" t="s">
        <v>166</v>
      </c>
      <c r="E6" t="s">
        <v>166</v>
      </c>
    </row>
    <row r="7" spans="1:5" x14ac:dyDescent="0.4">
      <c r="A7" t="s">
        <v>158</v>
      </c>
      <c r="C7" t="s">
        <v>167</v>
      </c>
      <c r="E7" t="s">
        <v>167</v>
      </c>
    </row>
    <row r="8" spans="1:5" x14ac:dyDescent="0.4">
      <c r="A8" t="s">
        <v>159</v>
      </c>
      <c r="C8" t="s">
        <v>168</v>
      </c>
      <c r="E8" t="s">
        <v>168</v>
      </c>
    </row>
    <row r="9" spans="1:5" x14ac:dyDescent="0.4">
      <c r="A9" t="s">
        <v>160</v>
      </c>
      <c r="C9" t="s">
        <v>169</v>
      </c>
      <c r="E9" t="s">
        <v>169</v>
      </c>
    </row>
    <row r="10" spans="1:5" x14ac:dyDescent="0.4">
      <c r="A10" t="s">
        <v>161</v>
      </c>
    </row>
    <row r="11" spans="1:5" x14ac:dyDescent="0.4">
      <c r="A11" t="s">
        <v>162</v>
      </c>
    </row>
    <row r="12" spans="1:5" x14ac:dyDescent="0.4">
      <c r="A12" t="s">
        <v>170</v>
      </c>
      <c r="C12" s="1" t="s">
        <v>154</v>
      </c>
      <c r="E12" s="1" t="s">
        <v>172</v>
      </c>
    </row>
    <row r="13" spans="1:5" x14ac:dyDescent="0.4">
      <c r="C13" t="s">
        <v>171</v>
      </c>
      <c r="E13" t="s">
        <v>163</v>
      </c>
    </row>
    <row r="14" spans="1:5" x14ac:dyDescent="0.4">
      <c r="E14" t="s">
        <v>164</v>
      </c>
    </row>
    <row r="15" spans="1:5" x14ac:dyDescent="0.4">
      <c r="E15" t="s">
        <v>165</v>
      </c>
    </row>
    <row r="16" spans="1:5" x14ac:dyDescent="0.4">
      <c r="C16" s="1" t="s">
        <v>155</v>
      </c>
      <c r="E16" t="s">
        <v>166</v>
      </c>
    </row>
    <row r="17" spans="3:5" x14ac:dyDescent="0.4">
      <c r="C17" t="s">
        <v>172</v>
      </c>
      <c r="E17" t="s">
        <v>167</v>
      </c>
    </row>
    <row r="18" spans="3:5" x14ac:dyDescent="0.4">
      <c r="E18" t="s">
        <v>168</v>
      </c>
    </row>
    <row r="19" spans="3:5" x14ac:dyDescent="0.4">
      <c r="E19" t="s">
        <v>169</v>
      </c>
    </row>
    <row r="20" spans="3:5" x14ac:dyDescent="0.4">
      <c r="C20" s="1" t="s">
        <v>156</v>
      </c>
    </row>
    <row r="21" spans="3:5" x14ac:dyDescent="0.4">
      <c r="C21" t="s">
        <v>173</v>
      </c>
    </row>
    <row r="22" spans="3:5" x14ac:dyDescent="0.4">
      <c r="E22" s="1" t="s">
        <v>173</v>
      </c>
    </row>
    <row r="23" spans="3:5" x14ac:dyDescent="0.4">
      <c r="E23" t="s">
        <v>163</v>
      </c>
    </row>
    <row r="24" spans="3:5" x14ac:dyDescent="0.4">
      <c r="C24" s="1" t="s">
        <v>157</v>
      </c>
      <c r="E24" t="s">
        <v>164</v>
      </c>
    </row>
    <row r="25" spans="3:5" x14ac:dyDescent="0.4">
      <c r="C25" t="s">
        <v>174</v>
      </c>
      <c r="E25" t="s">
        <v>165</v>
      </c>
    </row>
    <row r="26" spans="3:5" x14ac:dyDescent="0.4">
      <c r="E26" t="s">
        <v>166</v>
      </c>
    </row>
    <row r="27" spans="3:5" x14ac:dyDescent="0.4">
      <c r="E27" t="s">
        <v>167</v>
      </c>
    </row>
    <row r="28" spans="3:5" x14ac:dyDescent="0.4">
      <c r="C28" s="1" t="s">
        <v>158</v>
      </c>
      <c r="E28" t="s">
        <v>168</v>
      </c>
    </row>
    <row r="29" spans="3:5" x14ac:dyDescent="0.4">
      <c r="C29" t="s">
        <v>175</v>
      </c>
      <c r="E29" t="s">
        <v>169</v>
      </c>
    </row>
    <row r="32" spans="3:5" x14ac:dyDescent="0.4">
      <c r="C32" s="1" t="s">
        <v>159</v>
      </c>
      <c r="E32" s="1" t="s">
        <v>174</v>
      </c>
    </row>
    <row r="33" spans="3:5" x14ac:dyDescent="0.4">
      <c r="C33" t="s">
        <v>176</v>
      </c>
      <c r="E33" t="s">
        <v>163</v>
      </c>
    </row>
    <row r="34" spans="3:5" x14ac:dyDescent="0.4">
      <c r="E34" t="s">
        <v>164</v>
      </c>
    </row>
    <row r="35" spans="3:5" x14ac:dyDescent="0.4">
      <c r="E35" t="s">
        <v>165</v>
      </c>
    </row>
    <row r="36" spans="3:5" x14ac:dyDescent="0.4">
      <c r="C36" s="1" t="s">
        <v>160</v>
      </c>
      <c r="E36" t="s">
        <v>166</v>
      </c>
    </row>
    <row r="37" spans="3:5" x14ac:dyDescent="0.4">
      <c r="C37" t="s">
        <v>177</v>
      </c>
      <c r="E37" t="s">
        <v>167</v>
      </c>
    </row>
    <row r="38" spans="3:5" x14ac:dyDescent="0.4">
      <c r="E38" t="s">
        <v>168</v>
      </c>
    </row>
    <row r="39" spans="3:5" x14ac:dyDescent="0.4">
      <c r="E39" t="s">
        <v>169</v>
      </c>
    </row>
    <row r="40" spans="3:5" x14ac:dyDescent="0.4">
      <c r="C40" s="1" t="s">
        <v>161</v>
      </c>
    </row>
    <row r="41" spans="3:5" x14ac:dyDescent="0.4">
      <c r="C41" t="s">
        <v>178</v>
      </c>
    </row>
    <row r="42" spans="3:5" x14ac:dyDescent="0.4">
      <c r="E42" s="1" t="s">
        <v>175</v>
      </c>
    </row>
    <row r="43" spans="3:5" x14ac:dyDescent="0.4">
      <c r="E43" t="s">
        <v>163</v>
      </c>
    </row>
    <row r="44" spans="3:5" x14ac:dyDescent="0.4">
      <c r="C44" s="1" t="s">
        <v>162</v>
      </c>
      <c r="E44" t="s">
        <v>164</v>
      </c>
    </row>
    <row r="45" spans="3:5" x14ac:dyDescent="0.4">
      <c r="C45" t="s">
        <v>179</v>
      </c>
      <c r="E45" t="s">
        <v>165</v>
      </c>
    </row>
    <row r="46" spans="3:5" x14ac:dyDescent="0.4">
      <c r="C46" t="s">
        <v>188</v>
      </c>
      <c r="E46" t="s">
        <v>166</v>
      </c>
    </row>
    <row r="47" spans="3:5" x14ac:dyDescent="0.4">
      <c r="C47" t="s">
        <v>187</v>
      </c>
      <c r="E47" t="s">
        <v>167</v>
      </c>
    </row>
    <row r="48" spans="3:5" x14ac:dyDescent="0.4">
      <c r="C48" t="s">
        <v>186</v>
      </c>
      <c r="E48" t="s">
        <v>168</v>
      </c>
    </row>
    <row r="49" spans="3:5" x14ac:dyDescent="0.4">
      <c r="C49" t="s">
        <v>185</v>
      </c>
      <c r="E49" t="s">
        <v>169</v>
      </c>
    </row>
    <row r="50" spans="3:5" x14ac:dyDescent="0.4">
      <c r="C50" t="s">
        <v>184</v>
      </c>
    </row>
    <row r="51" spans="3:5" x14ac:dyDescent="0.4">
      <c r="C51" t="s">
        <v>189</v>
      </c>
    </row>
    <row r="52" spans="3:5" x14ac:dyDescent="0.4">
      <c r="C52" t="s">
        <v>190</v>
      </c>
      <c r="E52" s="1" t="s">
        <v>176</v>
      </c>
    </row>
    <row r="53" spans="3:5" x14ac:dyDescent="0.4">
      <c r="E53" t="s">
        <v>163</v>
      </c>
    </row>
    <row r="54" spans="3:5" x14ac:dyDescent="0.4">
      <c r="E54" t="s">
        <v>164</v>
      </c>
    </row>
    <row r="55" spans="3:5" x14ac:dyDescent="0.4">
      <c r="C55" s="1" t="s">
        <v>170</v>
      </c>
      <c r="E55" t="s">
        <v>165</v>
      </c>
    </row>
    <row r="56" spans="3:5" x14ac:dyDescent="0.4">
      <c r="C56" t="s">
        <v>180</v>
      </c>
      <c r="E56" t="s">
        <v>166</v>
      </c>
    </row>
    <row r="57" spans="3:5" x14ac:dyDescent="0.4">
      <c r="C57" t="s">
        <v>181</v>
      </c>
      <c r="E57" t="s">
        <v>167</v>
      </c>
    </row>
    <row r="58" spans="3:5" x14ac:dyDescent="0.4">
      <c r="C58" t="s">
        <v>182</v>
      </c>
      <c r="E58" t="s">
        <v>168</v>
      </c>
    </row>
    <row r="59" spans="3:5" x14ac:dyDescent="0.4">
      <c r="C59" t="s">
        <v>183</v>
      </c>
      <c r="E59" t="s">
        <v>169</v>
      </c>
    </row>
    <row r="60" spans="3:5" x14ac:dyDescent="0.4">
      <c r="C60" t="s">
        <v>191</v>
      </c>
    </row>
    <row r="62" spans="3:5" x14ac:dyDescent="0.4">
      <c r="E62" s="1" t="s">
        <v>177</v>
      </c>
    </row>
    <row r="63" spans="3:5" x14ac:dyDescent="0.4">
      <c r="E63" t="s">
        <v>163</v>
      </c>
    </row>
    <row r="64" spans="3:5" x14ac:dyDescent="0.4">
      <c r="E64" t="s">
        <v>164</v>
      </c>
    </row>
    <row r="65" spans="5:5" x14ac:dyDescent="0.4">
      <c r="E65" t="s">
        <v>165</v>
      </c>
    </row>
    <row r="66" spans="5:5" x14ac:dyDescent="0.4">
      <c r="E66" t="s">
        <v>166</v>
      </c>
    </row>
    <row r="67" spans="5:5" x14ac:dyDescent="0.4">
      <c r="E67" t="s">
        <v>167</v>
      </c>
    </row>
    <row r="68" spans="5:5" x14ac:dyDescent="0.4">
      <c r="E68" t="s">
        <v>168</v>
      </c>
    </row>
    <row r="69" spans="5:5" x14ac:dyDescent="0.4">
      <c r="E69" t="s">
        <v>169</v>
      </c>
    </row>
    <row r="72" spans="5:5" x14ac:dyDescent="0.4">
      <c r="E72" s="1" t="s">
        <v>178</v>
      </c>
    </row>
    <row r="73" spans="5:5" x14ac:dyDescent="0.4">
      <c r="E73" t="s">
        <v>163</v>
      </c>
    </row>
    <row r="74" spans="5:5" x14ac:dyDescent="0.4">
      <c r="E74" t="s">
        <v>164</v>
      </c>
    </row>
    <row r="75" spans="5:5" x14ac:dyDescent="0.4">
      <c r="E75" t="s">
        <v>165</v>
      </c>
    </row>
    <row r="76" spans="5:5" x14ac:dyDescent="0.4">
      <c r="E76" t="s">
        <v>166</v>
      </c>
    </row>
    <row r="77" spans="5:5" x14ac:dyDescent="0.4">
      <c r="E77" t="s">
        <v>167</v>
      </c>
    </row>
    <row r="78" spans="5:5" x14ac:dyDescent="0.4">
      <c r="E78" t="s">
        <v>168</v>
      </c>
    </row>
    <row r="79" spans="5:5" x14ac:dyDescent="0.4">
      <c r="E79" t="s">
        <v>169</v>
      </c>
    </row>
    <row r="82" spans="5:5" x14ac:dyDescent="0.4">
      <c r="E82" s="1" t="s">
        <v>179</v>
      </c>
    </row>
    <row r="83" spans="5:5" x14ac:dyDescent="0.4">
      <c r="E83" t="s">
        <v>163</v>
      </c>
    </row>
    <row r="84" spans="5:5" x14ac:dyDescent="0.4">
      <c r="E84" t="s">
        <v>164</v>
      </c>
    </row>
    <row r="85" spans="5:5" x14ac:dyDescent="0.4">
      <c r="E85" t="s">
        <v>165</v>
      </c>
    </row>
    <row r="86" spans="5:5" x14ac:dyDescent="0.4">
      <c r="E86" t="s">
        <v>166</v>
      </c>
    </row>
    <row r="87" spans="5:5" x14ac:dyDescent="0.4">
      <c r="E87" t="s">
        <v>167</v>
      </c>
    </row>
    <row r="88" spans="5:5" x14ac:dyDescent="0.4">
      <c r="E88" t="s">
        <v>168</v>
      </c>
    </row>
    <row r="89" spans="5:5" x14ac:dyDescent="0.4">
      <c r="E89" t="s">
        <v>169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2018-08-24T21:53:38Z</dcterms:created>
  <dcterms:modified xsi:type="dcterms:W3CDTF">2018-08-30T00:10:11Z</dcterms:modified>
</cp:coreProperties>
</file>