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5255" windowHeight="790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O25" i="1"/>
  <c r="O26"/>
  <c r="O27"/>
  <c r="O28"/>
  <c r="O3"/>
  <c r="O14"/>
  <c r="O15"/>
  <c r="O16"/>
  <c r="O2"/>
  <c r="O10"/>
  <c r="O12"/>
  <c r="O11"/>
  <c r="AD27"/>
  <c r="AD25" s="1"/>
  <c r="AD26"/>
  <c r="AD21"/>
  <c r="K5"/>
  <c r="K4"/>
  <c r="K3"/>
  <c r="K2"/>
  <c r="AM9"/>
  <c r="AG7" s="1"/>
  <c r="AJ9"/>
  <c r="AG6" s="1"/>
  <c r="AG5" s="1"/>
  <c r="AD2" s="1"/>
  <c r="AD9"/>
  <c r="AD6" s="1"/>
  <c r="AG9"/>
  <c r="AD7" s="1"/>
  <c r="K15" l="1"/>
  <c r="AD5"/>
  <c r="K11" l="1"/>
  <c r="K27"/>
  <c r="K25"/>
  <c r="K21"/>
  <c r="K19"/>
  <c r="K16"/>
  <c r="K14" s="1"/>
  <c r="K12"/>
  <c r="K28"/>
  <c r="K26"/>
  <c r="K22"/>
  <c r="K20"/>
  <c r="AD3"/>
  <c r="AD1" s="1"/>
  <c r="K18" l="1"/>
  <c r="K10"/>
  <c r="AA8"/>
  <c r="AA6"/>
  <c r="AA4"/>
  <c r="AA2"/>
  <c r="W4"/>
  <c r="W2"/>
  <c r="S4"/>
  <c r="S2"/>
  <c r="O4"/>
  <c r="G7"/>
  <c r="G5"/>
  <c r="G3"/>
  <c r="AD15"/>
  <c r="AA7"/>
  <c r="AA5"/>
  <c r="AA3"/>
  <c r="W5"/>
  <c r="W3"/>
  <c r="S5"/>
  <c r="S3"/>
  <c r="O5"/>
  <c r="G8"/>
  <c r="G6"/>
  <c r="G4"/>
  <c r="G2"/>
  <c r="AD14"/>
  <c r="AD13" s="1"/>
  <c r="K24"/>
  <c r="AD19" l="1"/>
  <c r="AD18"/>
  <c r="AD17" s="1"/>
  <c r="K1"/>
  <c r="C3" s="1"/>
  <c r="O1"/>
  <c r="C4" s="1"/>
  <c r="S1"/>
  <c r="C5" s="1"/>
  <c r="W1"/>
  <c r="C6" s="1"/>
  <c r="AA1"/>
  <c r="C7" s="1"/>
  <c r="G1"/>
  <c r="C2" s="1"/>
  <c r="C1" l="1"/>
</calcChain>
</file>

<file path=xl/sharedStrings.xml><?xml version="1.0" encoding="utf-8"?>
<sst xmlns="http://schemas.openxmlformats.org/spreadsheetml/2006/main" count="108" uniqueCount="82">
  <si>
    <t>CAB</t>
  </si>
  <si>
    <t>EFF BTRY</t>
  </si>
  <si>
    <t>SPT CO</t>
  </si>
  <si>
    <t>CO HQ PLT</t>
  </si>
  <si>
    <t>INF CO</t>
  </si>
  <si>
    <t>3x INF PLT</t>
  </si>
  <si>
    <t>WPNS PLT</t>
  </si>
  <si>
    <t>CAV TRP</t>
  </si>
  <si>
    <t>3x CAV PLT</t>
  </si>
  <si>
    <t>FIRE SPT PLT</t>
  </si>
  <si>
    <t>FIRES PLT</t>
  </si>
  <si>
    <t>AMD PLT</t>
  </si>
  <si>
    <t>SPLY PLT</t>
  </si>
  <si>
    <t>MAINT PLT</t>
  </si>
  <si>
    <t>MED PLT</t>
  </si>
  <si>
    <t>FLD SVC PLT</t>
  </si>
  <si>
    <t>ENG PLT</t>
  </si>
  <si>
    <t>MP PLT</t>
  </si>
  <si>
    <t>HQ SQD</t>
  </si>
  <si>
    <t>INF CO HQ PLT</t>
  </si>
  <si>
    <t>HQ CO HQ PLT</t>
  </si>
  <si>
    <t>INF PLT</t>
  </si>
  <si>
    <t>3x INF SQD</t>
  </si>
  <si>
    <t>TRP CP SEC</t>
  </si>
  <si>
    <t>CAV PLT</t>
  </si>
  <si>
    <t>SR AMD SEC</t>
  </si>
  <si>
    <t>RTO</t>
  </si>
  <si>
    <t>PLT LDR</t>
  </si>
  <si>
    <t>PLT SGT</t>
  </si>
  <si>
    <t>3x RFL</t>
  </si>
  <si>
    <t>TM LDR</t>
  </si>
  <si>
    <t>HQ TM</t>
  </si>
  <si>
    <t>3x TM</t>
  </si>
  <si>
    <t>CAB HQ CO</t>
  </si>
  <si>
    <t>3x INF CO</t>
  </si>
  <si>
    <t>ISR CO</t>
  </si>
  <si>
    <t>BN CMD &amp; STAFF</t>
  </si>
  <si>
    <t>BN COMMO PLT</t>
  </si>
  <si>
    <t>SCOUT PLT</t>
  </si>
  <si>
    <t>BN SCOUT PLT</t>
  </si>
  <si>
    <t>BN INT COLL PLT</t>
  </si>
  <si>
    <t>BN INT UV PLT</t>
  </si>
  <si>
    <t>HQ CO SPT PLT</t>
  </si>
  <si>
    <t>SPT PLT</t>
  </si>
  <si>
    <t>CAV TRP HQ PLT</t>
  </si>
  <si>
    <t>EFF BTRY HQ PLT</t>
  </si>
  <si>
    <t>INT COLL PLT</t>
  </si>
  <si>
    <t>ISR UV PLT</t>
  </si>
  <si>
    <t>PLT</t>
  </si>
  <si>
    <t>3x SQD</t>
  </si>
  <si>
    <t>SQD</t>
  </si>
  <si>
    <t>PLT LDR TM</t>
  </si>
  <si>
    <t>PLT SGT TM</t>
  </si>
  <si>
    <t>SQD LDR</t>
  </si>
  <si>
    <t>TM</t>
  </si>
  <si>
    <t>CO</t>
  </si>
  <si>
    <t>HQ PLT</t>
  </si>
  <si>
    <t>3x PLT</t>
  </si>
  <si>
    <t>BN</t>
  </si>
  <si>
    <t>HQ CO</t>
  </si>
  <si>
    <t>3x CO</t>
  </si>
  <si>
    <t>MSL SQD</t>
  </si>
  <si>
    <t>AMD SQD</t>
  </si>
  <si>
    <t>MORT SQD</t>
  </si>
  <si>
    <t>SPLY SQD</t>
  </si>
  <si>
    <t>MAINT SQD</t>
  </si>
  <si>
    <t>MED SQD</t>
  </si>
  <si>
    <t>CO CP SQD</t>
  </si>
  <si>
    <t>VEH CREW I</t>
  </si>
  <si>
    <t>DRV</t>
  </si>
  <si>
    <t>VC/GNR</t>
  </si>
  <si>
    <t>TRP CMD SEC</t>
  </si>
  <si>
    <t>CO CMD SQD</t>
  </si>
  <si>
    <t>SEC I</t>
  </si>
  <si>
    <t>2x VEH CREW</t>
  </si>
  <si>
    <t>2x TM</t>
  </si>
  <si>
    <t>HQ SEC</t>
  </si>
  <si>
    <t>3x VEH SEC</t>
  </si>
  <si>
    <t>IDF MSL SEC</t>
  </si>
  <si>
    <t>SPLY SEC</t>
  </si>
  <si>
    <t>MAINT SEC</t>
  </si>
  <si>
    <t>MED SEC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</si>
</sst>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inden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19"/>
  <sheetViews>
    <sheetView tabSelected="1" workbookViewId="0">
      <selection activeCell="R26" sqref="R26"/>
    </sheetView>
  </sheetViews>
  <sheetFormatPr defaultRowHeight="15"/>
  <cols>
    <col min="1" max="1" width="3" bestFit="1" customWidth="1"/>
    <col min="2" max="2" width="10.7109375" bestFit="1" customWidth="1"/>
    <col min="3" max="3" width="5" bestFit="1" customWidth="1"/>
    <col min="4" max="4" width="3.7109375" customWidth="1"/>
    <col min="5" max="5" width="3" bestFit="1" customWidth="1"/>
    <col min="6" max="6" width="16.7109375" bestFit="1" customWidth="1"/>
    <col min="7" max="7" width="4" bestFit="1" customWidth="1"/>
    <col min="8" max="8" width="3.7109375" customWidth="1"/>
    <col min="9" max="9" width="3" bestFit="1" customWidth="1"/>
    <col min="10" max="10" width="13.7109375" bestFit="1" customWidth="1"/>
    <col min="11" max="11" width="4" bestFit="1" customWidth="1"/>
    <col min="12" max="12" width="3.7109375" customWidth="1"/>
    <col min="13" max="13" width="3" bestFit="1" customWidth="1"/>
    <col min="14" max="14" width="15.140625" bestFit="1" customWidth="1"/>
    <col min="15" max="15" width="4" bestFit="1" customWidth="1"/>
    <col min="16" max="16" width="3.7109375" customWidth="1"/>
    <col min="17" max="17" width="3" bestFit="1" customWidth="1"/>
    <col min="18" max="18" width="15.42578125" bestFit="1" customWidth="1"/>
    <col min="19" max="19" width="4" bestFit="1" customWidth="1"/>
    <col min="20" max="20" width="3.7109375" customWidth="1"/>
    <col min="21" max="21" width="4" bestFit="1" customWidth="1"/>
    <col min="22" max="22" width="12.140625" bestFit="1" customWidth="1"/>
    <col min="23" max="23" width="4" bestFit="1" customWidth="1"/>
    <col min="24" max="24" width="3.7109375" customWidth="1"/>
    <col min="25" max="25" width="3" bestFit="1" customWidth="1"/>
    <col min="26" max="26" width="11.42578125" bestFit="1" customWidth="1"/>
    <col min="27" max="27" width="4" bestFit="1" customWidth="1"/>
    <col min="28" max="28" width="6.7109375" customWidth="1"/>
    <col min="29" max="29" width="12.5703125" bestFit="1" customWidth="1"/>
    <col min="30" max="30" width="4" bestFit="1" customWidth="1"/>
    <col min="31" max="31" width="3.7109375" customWidth="1"/>
    <col min="32" max="32" width="7.42578125" bestFit="1" customWidth="1"/>
    <col min="33" max="33" width="2" bestFit="1" customWidth="1"/>
    <col min="34" max="34" width="3.7109375" customWidth="1"/>
    <col min="35" max="35" width="10.85546875" bestFit="1" customWidth="1"/>
    <col min="36" max="36" width="2" bestFit="1" customWidth="1"/>
    <col min="37" max="37" width="3.7109375" customWidth="1"/>
    <col min="38" max="38" width="10.85546875" bestFit="1" customWidth="1"/>
    <col min="39" max="39" width="2" bestFit="1" customWidth="1"/>
  </cols>
  <sheetData>
    <row r="1" spans="1:39">
      <c r="A1" s="2">
        <v>1</v>
      </c>
      <c r="B1" s="2" t="s">
        <v>0</v>
      </c>
      <c r="C1" s="2">
        <f>SUM(C2:C7)</f>
        <v>2106</v>
      </c>
      <c r="E1" s="2">
        <v>2</v>
      </c>
      <c r="F1" s="2" t="s">
        <v>33</v>
      </c>
      <c r="G1" s="2">
        <f>SUM(G2:G8)</f>
        <v>322</v>
      </c>
      <c r="I1" s="2">
        <v>3</v>
      </c>
      <c r="J1" s="2" t="s">
        <v>4</v>
      </c>
      <c r="K1" s="2">
        <f>SUM(K2:K5)</f>
        <v>278</v>
      </c>
      <c r="M1" s="2">
        <v>4</v>
      </c>
      <c r="N1" s="2" t="s">
        <v>7</v>
      </c>
      <c r="O1" s="2">
        <f>SUM(O2:O5)</f>
        <v>260</v>
      </c>
      <c r="Q1" s="2">
        <v>5</v>
      </c>
      <c r="R1" s="2" t="s">
        <v>1</v>
      </c>
      <c r="S1" s="2">
        <f>SUM(S2:S5)</f>
        <v>184</v>
      </c>
      <c r="U1" s="2">
        <v>6</v>
      </c>
      <c r="V1" s="2" t="s">
        <v>35</v>
      </c>
      <c r="W1" s="2">
        <f>SUM(W2:W5)</f>
        <v>184</v>
      </c>
      <c r="Y1" s="2">
        <v>7</v>
      </c>
      <c r="Z1" s="2" t="s">
        <v>2</v>
      </c>
      <c r="AA1" s="2">
        <f>SUM(AA2:AA8)</f>
        <v>322</v>
      </c>
      <c r="AC1" s="2" t="s">
        <v>48</v>
      </c>
      <c r="AD1" s="2">
        <f>SUM(AD2:AD3)</f>
        <v>46</v>
      </c>
    </row>
    <row r="2" spans="1:39">
      <c r="A2" s="1">
        <v>2</v>
      </c>
      <c r="B2" t="s">
        <v>33</v>
      </c>
      <c r="C2">
        <f>G1</f>
        <v>322</v>
      </c>
      <c r="E2" s="1">
        <v>8</v>
      </c>
      <c r="F2" t="s">
        <v>20</v>
      </c>
      <c r="G2">
        <f>AD1</f>
        <v>46</v>
      </c>
      <c r="I2" s="1">
        <v>14</v>
      </c>
      <c r="J2" t="s">
        <v>19</v>
      </c>
      <c r="K2">
        <f>K10</f>
        <v>28</v>
      </c>
      <c r="M2" s="1">
        <v>18</v>
      </c>
      <c r="N2" t="s">
        <v>44</v>
      </c>
      <c r="O2">
        <f>O10</f>
        <v>24</v>
      </c>
      <c r="Q2" s="1">
        <v>22</v>
      </c>
      <c r="R2" t="s">
        <v>45</v>
      </c>
      <c r="S2">
        <f>AD1</f>
        <v>46</v>
      </c>
      <c r="U2" s="1">
        <v>26</v>
      </c>
      <c r="V2" t="s">
        <v>3</v>
      </c>
      <c r="W2">
        <f>AD1</f>
        <v>46</v>
      </c>
      <c r="Y2" s="1">
        <v>30</v>
      </c>
      <c r="Z2" t="s">
        <v>3</v>
      </c>
      <c r="AA2">
        <f>AD1</f>
        <v>46</v>
      </c>
      <c r="AC2" t="s">
        <v>18</v>
      </c>
      <c r="AD2">
        <f>AG5</f>
        <v>4</v>
      </c>
    </row>
    <row r="3" spans="1:39">
      <c r="A3" s="1">
        <v>3</v>
      </c>
      <c r="B3" t="s">
        <v>34</v>
      </c>
      <c r="C3">
        <f>K1*3</f>
        <v>834</v>
      </c>
      <c r="E3" s="1">
        <v>9</v>
      </c>
      <c r="F3" t="s">
        <v>36</v>
      </c>
      <c r="G3">
        <f>AD1</f>
        <v>46</v>
      </c>
      <c r="I3" s="1">
        <v>15</v>
      </c>
      <c r="J3" t="s">
        <v>5</v>
      </c>
      <c r="K3">
        <f>K14*3</f>
        <v>138</v>
      </c>
      <c r="M3" s="1">
        <v>19</v>
      </c>
      <c r="N3" t="s">
        <v>8</v>
      </c>
      <c r="O3">
        <f>O14*3</f>
        <v>144</v>
      </c>
      <c r="Q3" s="1">
        <v>23</v>
      </c>
      <c r="R3" t="s">
        <v>10</v>
      </c>
      <c r="S3">
        <f>AD1</f>
        <v>46</v>
      </c>
      <c r="U3" s="1">
        <v>27</v>
      </c>
      <c r="V3" t="s">
        <v>38</v>
      </c>
      <c r="W3">
        <f>AD1</f>
        <v>46</v>
      </c>
      <c r="Y3" s="1">
        <v>31</v>
      </c>
      <c r="Z3" t="s">
        <v>12</v>
      </c>
      <c r="AA3">
        <f>AD1</f>
        <v>46</v>
      </c>
      <c r="AC3" t="s">
        <v>49</v>
      </c>
      <c r="AD3">
        <f>AD5*3</f>
        <v>42</v>
      </c>
    </row>
    <row r="4" spans="1:39">
      <c r="A4" s="1">
        <v>4</v>
      </c>
      <c r="B4" t="s">
        <v>7</v>
      </c>
      <c r="C4">
        <f>O1</f>
        <v>260</v>
      </c>
      <c r="E4" s="1">
        <v>10</v>
      </c>
      <c r="F4" t="s">
        <v>37</v>
      </c>
      <c r="G4">
        <f>AD1</f>
        <v>46</v>
      </c>
      <c r="I4" s="1">
        <v>16</v>
      </c>
      <c r="J4" t="s">
        <v>6</v>
      </c>
      <c r="K4">
        <f>K18</f>
        <v>56</v>
      </c>
      <c r="M4" s="1">
        <v>20</v>
      </c>
      <c r="N4" t="s">
        <v>9</v>
      </c>
      <c r="O4">
        <f>AD1</f>
        <v>46</v>
      </c>
      <c r="Q4" s="1">
        <v>24</v>
      </c>
      <c r="R4" t="s">
        <v>11</v>
      </c>
      <c r="S4">
        <f>AD1</f>
        <v>46</v>
      </c>
      <c r="U4" s="1">
        <v>28</v>
      </c>
      <c r="V4" t="s">
        <v>46</v>
      </c>
      <c r="W4">
        <f>AD1</f>
        <v>46</v>
      </c>
      <c r="Y4" s="1">
        <v>32</v>
      </c>
      <c r="Z4" t="s">
        <v>13</v>
      </c>
      <c r="AA4">
        <f>AD1</f>
        <v>46</v>
      </c>
    </row>
    <row r="5" spans="1:39">
      <c r="A5" s="1">
        <v>5</v>
      </c>
      <c r="B5" t="s">
        <v>1</v>
      </c>
      <c r="C5">
        <f>S1</f>
        <v>184</v>
      </c>
      <c r="E5" s="1">
        <v>11</v>
      </c>
      <c r="F5" t="s">
        <v>39</v>
      </c>
      <c r="G5">
        <f>AD1</f>
        <v>46</v>
      </c>
      <c r="I5" s="1">
        <v>17</v>
      </c>
      <c r="J5" t="s">
        <v>43</v>
      </c>
      <c r="K5">
        <f>K24</f>
        <v>56</v>
      </c>
      <c r="M5" s="1">
        <v>21</v>
      </c>
      <c r="N5" t="s">
        <v>43</v>
      </c>
      <c r="O5">
        <f>AD1</f>
        <v>46</v>
      </c>
      <c r="Q5" s="1">
        <v>25</v>
      </c>
      <c r="R5" t="s">
        <v>43</v>
      </c>
      <c r="S5">
        <f>AD1</f>
        <v>46</v>
      </c>
      <c r="U5" s="1">
        <v>29</v>
      </c>
      <c r="V5" t="s">
        <v>47</v>
      </c>
      <c r="W5">
        <f>AD1</f>
        <v>46</v>
      </c>
      <c r="Y5" s="1">
        <v>33</v>
      </c>
      <c r="Z5" t="s">
        <v>14</v>
      </c>
      <c r="AA5">
        <f>AD1</f>
        <v>46</v>
      </c>
      <c r="AC5" s="2" t="s">
        <v>50</v>
      </c>
      <c r="AD5" s="2">
        <f>SUM(AD6:AD7)</f>
        <v>14</v>
      </c>
      <c r="AF5" s="2" t="s">
        <v>18</v>
      </c>
      <c r="AG5" s="2">
        <f>SUM(AG6:AG7)</f>
        <v>4</v>
      </c>
    </row>
    <row r="6" spans="1:39">
      <c r="A6" s="1">
        <v>6</v>
      </c>
      <c r="B6" t="s">
        <v>35</v>
      </c>
      <c r="C6">
        <f>W1</f>
        <v>184</v>
      </c>
      <c r="E6" s="1">
        <v>12</v>
      </c>
      <c r="F6" t="s">
        <v>40</v>
      </c>
      <c r="G6">
        <f>AD1</f>
        <v>46</v>
      </c>
      <c r="I6" s="3"/>
      <c r="J6" s="2"/>
      <c r="M6" s="3"/>
      <c r="N6" s="2"/>
      <c r="Q6" s="2"/>
      <c r="R6" s="2"/>
      <c r="U6" s="1"/>
      <c r="Y6" s="1">
        <v>34</v>
      </c>
      <c r="Z6" t="s">
        <v>16</v>
      </c>
      <c r="AA6">
        <f>AD1</f>
        <v>46</v>
      </c>
      <c r="AC6" t="s">
        <v>31</v>
      </c>
      <c r="AD6">
        <f>AD9</f>
        <v>2</v>
      </c>
      <c r="AF6" t="s">
        <v>51</v>
      </c>
      <c r="AG6">
        <f>AJ9</f>
        <v>2</v>
      </c>
    </row>
    <row r="7" spans="1:39">
      <c r="A7" s="1">
        <v>7</v>
      </c>
      <c r="B7" t="s">
        <v>2</v>
      </c>
      <c r="C7">
        <f>AA1</f>
        <v>322</v>
      </c>
      <c r="E7" s="1">
        <v>13</v>
      </c>
      <c r="F7" t="s">
        <v>41</v>
      </c>
      <c r="G7">
        <f>AD1</f>
        <v>46</v>
      </c>
      <c r="I7" s="1"/>
      <c r="M7" s="1"/>
      <c r="Q7" s="1"/>
      <c r="U7" s="1"/>
      <c r="Y7" s="1">
        <v>35</v>
      </c>
      <c r="Z7" t="s">
        <v>15</v>
      </c>
      <c r="AA7">
        <f>AD1</f>
        <v>46</v>
      </c>
      <c r="AC7" t="s">
        <v>32</v>
      </c>
      <c r="AD7">
        <f>AG9*3</f>
        <v>12</v>
      </c>
      <c r="AF7" t="s">
        <v>52</v>
      </c>
      <c r="AG7">
        <f>AM9</f>
        <v>2</v>
      </c>
    </row>
    <row r="8" spans="1:39">
      <c r="B8" s="2"/>
      <c r="C8" s="2"/>
      <c r="E8" s="1">
        <v>14</v>
      </c>
      <c r="F8" s="8" t="s">
        <v>42</v>
      </c>
      <c r="G8" s="8">
        <f>AD1</f>
        <v>46</v>
      </c>
      <c r="I8" s="1"/>
      <c r="M8" s="1"/>
      <c r="Q8" s="1"/>
      <c r="U8" s="1"/>
      <c r="Y8" s="1">
        <v>36</v>
      </c>
      <c r="Z8" t="s">
        <v>17</v>
      </c>
      <c r="AA8">
        <f>AD1</f>
        <v>46</v>
      </c>
    </row>
    <row r="9" spans="1:39">
      <c r="B9" s="2"/>
      <c r="C9" s="2"/>
      <c r="E9" s="1"/>
      <c r="F9" s="8"/>
      <c r="G9" s="8"/>
      <c r="I9" s="1"/>
      <c r="M9" s="1"/>
      <c r="Q9" s="1"/>
      <c r="AC9" s="2" t="s">
        <v>31</v>
      </c>
      <c r="AD9" s="2">
        <f>SUM(AD10:AD11)</f>
        <v>2</v>
      </c>
      <c r="AF9" s="2" t="s">
        <v>54</v>
      </c>
      <c r="AG9" s="2">
        <f>SUM(AG10:AG11)</f>
        <v>4</v>
      </c>
      <c r="AI9" s="2" t="s">
        <v>51</v>
      </c>
      <c r="AJ9" s="2">
        <f>SUM(AJ10:AJ11)</f>
        <v>2</v>
      </c>
      <c r="AL9" s="2" t="s">
        <v>52</v>
      </c>
      <c r="AM9" s="2">
        <f>SUM(AM10:AM11)</f>
        <v>2</v>
      </c>
    </row>
    <row r="10" spans="1:39">
      <c r="E10" s="1">
        <v>8</v>
      </c>
      <c r="F10" s="8" t="s">
        <v>20</v>
      </c>
      <c r="G10" s="8"/>
      <c r="I10" s="3">
        <v>14</v>
      </c>
      <c r="J10" s="2" t="s">
        <v>19</v>
      </c>
      <c r="K10" s="2">
        <f>SUM(K11:K12)</f>
        <v>28</v>
      </c>
      <c r="M10" s="3">
        <v>18</v>
      </c>
      <c r="N10" s="2" t="s">
        <v>44</v>
      </c>
      <c r="O10" s="2">
        <f>SUM(O11:O12)</f>
        <v>24</v>
      </c>
      <c r="Q10" s="1"/>
      <c r="U10" s="2"/>
      <c r="V10" s="2"/>
      <c r="AC10" t="s">
        <v>53</v>
      </c>
      <c r="AD10">
        <v>1</v>
      </c>
      <c r="AF10" t="s">
        <v>30</v>
      </c>
      <c r="AG10">
        <v>1</v>
      </c>
      <c r="AI10" t="s">
        <v>27</v>
      </c>
      <c r="AJ10">
        <v>1</v>
      </c>
      <c r="AL10" t="s">
        <v>28</v>
      </c>
      <c r="AM10">
        <v>1</v>
      </c>
    </row>
    <row r="11" spans="1:39">
      <c r="E11" s="1"/>
      <c r="F11" s="8"/>
      <c r="G11" s="8"/>
      <c r="I11" s="1">
        <v>47</v>
      </c>
      <c r="J11" s="7" t="s">
        <v>72</v>
      </c>
      <c r="K11">
        <f>AD5</f>
        <v>14</v>
      </c>
      <c r="M11" s="1">
        <v>49</v>
      </c>
      <c r="N11" t="s">
        <v>71</v>
      </c>
      <c r="O11">
        <f>AD25</f>
        <v>12</v>
      </c>
      <c r="Q11" s="1"/>
      <c r="U11" s="1"/>
      <c r="AC11" t="s">
        <v>26</v>
      </c>
      <c r="AD11">
        <v>1</v>
      </c>
      <c r="AF11" t="s">
        <v>29</v>
      </c>
      <c r="AG11">
        <v>3</v>
      </c>
      <c r="AI11" t="s">
        <v>26</v>
      </c>
      <c r="AJ11">
        <v>1</v>
      </c>
      <c r="AL11" t="s">
        <v>26</v>
      </c>
      <c r="AM11">
        <v>1</v>
      </c>
    </row>
    <row r="12" spans="1:39">
      <c r="E12" s="1"/>
      <c r="G12" s="8"/>
      <c r="I12" s="1">
        <v>48</v>
      </c>
      <c r="J12" s="7" t="s">
        <v>67</v>
      </c>
      <c r="K12">
        <f>AD5</f>
        <v>14</v>
      </c>
      <c r="M12" s="1">
        <v>50</v>
      </c>
      <c r="N12" t="s">
        <v>23</v>
      </c>
      <c r="O12">
        <f>AD25</f>
        <v>12</v>
      </c>
      <c r="Q12" s="1"/>
      <c r="U12" s="1"/>
    </row>
    <row r="13" spans="1:39">
      <c r="E13" s="1"/>
      <c r="G13" s="8"/>
      <c r="I13" s="1"/>
      <c r="J13" s="7"/>
      <c r="U13" s="1"/>
      <c r="AC13" s="2" t="s">
        <v>55</v>
      </c>
      <c r="AD13" s="2">
        <f>SUM(AD14:AD15)</f>
        <v>184</v>
      </c>
    </row>
    <row r="14" spans="1:39">
      <c r="E14" s="1"/>
      <c r="G14" s="8"/>
      <c r="I14" s="3">
        <v>15</v>
      </c>
      <c r="J14" s="2" t="s">
        <v>21</v>
      </c>
      <c r="K14" s="2">
        <f>SUM(K15:K16)</f>
        <v>46</v>
      </c>
      <c r="M14" s="3">
        <v>19</v>
      </c>
      <c r="N14" s="2" t="s">
        <v>24</v>
      </c>
      <c r="O14" s="2">
        <f>SUM(O15:O16)</f>
        <v>48</v>
      </c>
      <c r="Q14" s="2"/>
      <c r="R14" s="2"/>
      <c r="U14" s="1"/>
      <c r="AC14" t="s">
        <v>56</v>
      </c>
      <c r="AD14">
        <f>AD1</f>
        <v>46</v>
      </c>
    </row>
    <row r="15" spans="1:39">
      <c r="E15" s="1"/>
      <c r="F15" s="2"/>
      <c r="G15" s="8"/>
      <c r="I15" s="1">
        <v>37</v>
      </c>
      <c r="J15" s="7" t="s">
        <v>18</v>
      </c>
      <c r="K15">
        <f>AG5</f>
        <v>4</v>
      </c>
      <c r="M15" s="1">
        <v>51</v>
      </c>
      <c r="N15" t="s">
        <v>76</v>
      </c>
      <c r="O15">
        <f>AD25</f>
        <v>12</v>
      </c>
      <c r="Q15" s="1"/>
      <c r="U15" s="1"/>
      <c r="AC15" t="s">
        <v>57</v>
      </c>
      <c r="AD15">
        <f>AD1*3</f>
        <v>138</v>
      </c>
    </row>
    <row r="16" spans="1:39">
      <c r="E16" s="1"/>
      <c r="G16" s="8"/>
      <c r="I16" s="1">
        <v>38</v>
      </c>
      <c r="J16" s="7" t="s">
        <v>22</v>
      </c>
      <c r="K16">
        <f>AD5*3</f>
        <v>42</v>
      </c>
      <c r="M16" s="1">
        <v>52</v>
      </c>
      <c r="N16" t="s">
        <v>77</v>
      </c>
      <c r="O16">
        <f>AD25*3</f>
        <v>36</v>
      </c>
      <c r="Q16" s="1"/>
      <c r="U16" s="1"/>
    </row>
    <row r="17" spans="5:30">
      <c r="E17" s="1"/>
      <c r="G17" s="8"/>
      <c r="I17" s="1"/>
      <c r="J17" s="4"/>
      <c r="M17" s="1"/>
      <c r="Q17" s="1"/>
      <c r="U17" s="2"/>
      <c r="V17" s="2"/>
      <c r="AC17" s="2" t="s">
        <v>58</v>
      </c>
      <c r="AD17" s="2">
        <f>SUM(AD18:AD19)</f>
        <v>736</v>
      </c>
    </row>
    <row r="18" spans="5:30">
      <c r="E18" s="1"/>
      <c r="G18" s="8"/>
      <c r="I18" s="3">
        <v>16</v>
      </c>
      <c r="J18" s="2" t="s">
        <v>6</v>
      </c>
      <c r="K18" s="2">
        <f>SUM(K19:K22)</f>
        <v>56</v>
      </c>
      <c r="M18" s="3">
        <v>20</v>
      </c>
      <c r="N18" s="2" t="s">
        <v>9</v>
      </c>
      <c r="O18" s="2"/>
      <c r="U18" s="1"/>
      <c r="AC18" t="s">
        <v>59</v>
      </c>
      <c r="AD18">
        <f>AD13</f>
        <v>184</v>
      </c>
    </row>
    <row r="19" spans="5:30">
      <c r="E19" s="1"/>
      <c r="G19" s="8"/>
      <c r="I19" s="1">
        <v>39</v>
      </c>
      <c r="J19" s="7" t="s">
        <v>18</v>
      </c>
      <c r="K19">
        <f>AD5</f>
        <v>14</v>
      </c>
      <c r="M19" s="1">
        <v>53</v>
      </c>
      <c r="N19" t="s">
        <v>76</v>
      </c>
      <c r="Q19" s="2"/>
      <c r="R19" s="2"/>
      <c r="U19" s="1"/>
      <c r="AC19" t="s">
        <v>60</v>
      </c>
      <c r="AD19">
        <f>AD13*3</f>
        <v>552</v>
      </c>
    </row>
    <row r="20" spans="5:30">
      <c r="E20" s="1"/>
      <c r="F20" s="2"/>
      <c r="G20" s="8"/>
      <c r="I20" s="1">
        <v>40</v>
      </c>
      <c r="J20" s="7" t="s">
        <v>61</v>
      </c>
      <c r="K20">
        <f>AD5</f>
        <v>14</v>
      </c>
      <c r="M20" s="1">
        <v>54</v>
      </c>
      <c r="N20" t="s">
        <v>78</v>
      </c>
      <c r="Q20" s="1"/>
      <c r="U20" s="1"/>
    </row>
    <row r="21" spans="5:30">
      <c r="E21" s="1"/>
      <c r="G21" s="8"/>
      <c r="I21" s="1">
        <v>41</v>
      </c>
      <c r="J21" s="7" t="s">
        <v>62</v>
      </c>
      <c r="K21">
        <f>AD5</f>
        <v>14</v>
      </c>
      <c r="M21" s="1">
        <v>55</v>
      </c>
      <c r="N21" t="s">
        <v>25</v>
      </c>
      <c r="Q21" s="1"/>
      <c r="U21" s="1"/>
      <c r="AC21" s="2" t="s">
        <v>68</v>
      </c>
      <c r="AD21" s="2">
        <f>SUM(AD22:AD23)</f>
        <v>2</v>
      </c>
    </row>
    <row r="22" spans="5:30">
      <c r="E22" s="1"/>
      <c r="G22" s="8"/>
      <c r="I22" s="1">
        <v>42</v>
      </c>
      <c r="J22" s="7" t="s">
        <v>63</v>
      </c>
      <c r="K22">
        <f>AD5</f>
        <v>14</v>
      </c>
      <c r="M22" s="1"/>
      <c r="Q22" s="1"/>
      <c r="AC22" t="s">
        <v>69</v>
      </c>
      <c r="AD22">
        <v>1</v>
      </c>
    </row>
    <row r="23" spans="5:30">
      <c r="E23" s="1"/>
      <c r="G23" s="8"/>
      <c r="I23" s="1"/>
      <c r="U23" s="2"/>
      <c r="V23" s="2"/>
      <c r="AC23" t="s">
        <v>70</v>
      </c>
      <c r="AD23">
        <v>1</v>
      </c>
    </row>
    <row r="24" spans="5:30">
      <c r="E24" s="1"/>
      <c r="G24" s="8"/>
      <c r="I24" s="3">
        <v>17</v>
      </c>
      <c r="J24" s="2" t="s">
        <v>43</v>
      </c>
      <c r="K24" s="2">
        <f>SUM(K25:K28)</f>
        <v>56</v>
      </c>
      <c r="M24" s="3">
        <v>21</v>
      </c>
      <c r="N24" s="2" t="s">
        <v>43</v>
      </c>
      <c r="O24" s="2"/>
      <c r="U24" s="1"/>
    </row>
    <row r="25" spans="5:30">
      <c r="I25" s="1">
        <v>43</v>
      </c>
      <c r="J25" s="7" t="s">
        <v>18</v>
      </c>
      <c r="K25">
        <f>AD5</f>
        <v>14</v>
      </c>
      <c r="M25" s="1">
        <v>56</v>
      </c>
      <c r="N25" t="s">
        <v>76</v>
      </c>
      <c r="O25">
        <f>AD25</f>
        <v>12</v>
      </c>
      <c r="U25" s="1"/>
      <c r="AC25" s="2" t="s">
        <v>73</v>
      </c>
      <c r="AD25" s="2">
        <f>SUM(AD26:AD27)</f>
        <v>12</v>
      </c>
    </row>
    <row r="26" spans="5:30">
      <c r="E26" s="5"/>
      <c r="F26" s="5"/>
      <c r="G26" s="5"/>
      <c r="I26" s="1">
        <v>44</v>
      </c>
      <c r="J26" s="7" t="s">
        <v>64</v>
      </c>
      <c r="K26">
        <f>AD5</f>
        <v>14</v>
      </c>
      <c r="M26" s="1">
        <v>57</v>
      </c>
      <c r="N26" t="s">
        <v>79</v>
      </c>
      <c r="O26">
        <f>AD25</f>
        <v>12</v>
      </c>
      <c r="U26" s="1"/>
      <c r="AC26" t="s">
        <v>74</v>
      </c>
      <c r="AD26">
        <f>AD21*2</f>
        <v>4</v>
      </c>
    </row>
    <row r="27" spans="5:30">
      <c r="E27" s="1"/>
      <c r="F27" s="2"/>
      <c r="G27" s="2"/>
      <c r="H27" s="8"/>
      <c r="I27" s="1">
        <v>45</v>
      </c>
      <c r="J27" s="8" t="s">
        <v>65</v>
      </c>
      <c r="K27">
        <f>AD5</f>
        <v>14</v>
      </c>
      <c r="M27" s="1">
        <v>58</v>
      </c>
      <c r="N27" t="s">
        <v>80</v>
      </c>
      <c r="O27">
        <f>AD25</f>
        <v>12</v>
      </c>
      <c r="AC27" t="s">
        <v>75</v>
      </c>
      <c r="AD27">
        <f>AG9*2</f>
        <v>8</v>
      </c>
    </row>
    <row r="28" spans="5:30">
      <c r="E28" s="1"/>
      <c r="F28" s="7"/>
      <c r="I28" s="1">
        <v>46</v>
      </c>
      <c r="J28" s="7" t="s">
        <v>66</v>
      </c>
      <c r="K28">
        <f>AD5</f>
        <v>14</v>
      </c>
      <c r="M28" s="1">
        <v>59</v>
      </c>
      <c r="N28" t="s">
        <v>81</v>
      </c>
      <c r="O28">
        <f>AD25</f>
        <v>12</v>
      </c>
      <c r="U28" s="2"/>
      <c r="V28" s="2"/>
    </row>
    <row r="29" spans="5:30">
      <c r="F29" s="7"/>
      <c r="I29" s="1"/>
      <c r="J29" s="7"/>
      <c r="U29" s="1"/>
    </row>
    <row r="30" spans="5:30">
      <c r="F30" s="7"/>
      <c r="I30" s="1"/>
      <c r="U30" s="1"/>
    </row>
    <row r="31" spans="5:30">
      <c r="E31" s="1"/>
      <c r="F31" s="2"/>
      <c r="G31" s="2"/>
      <c r="I31" s="1"/>
      <c r="U31" s="1"/>
    </row>
    <row r="32" spans="5:30">
      <c r="E32" s="1"/>
      <c r="F32" s="7"/>
      <c r="U32" s="1"/>
    </row>
    <row r="33" spans="5:22">
      <c r="F33" s="7"/>
    </row>
    <row r="34" spans="5:22">
      <c r="F34" s="7"/>
      <c r="U34" s="2"/>
      <c r="V34" s="2"/>
    </row>
    <row r="35" spans="5:22">
      <c r="E35" s="1"/>
      <c r="F35" s="2"/>
      <c r="G35" s="2"/>
      <c r="U35" s="1"/>
    </row>
    <row r="36" spans="5:22">
      <c r="E36" s="1"/>
      <c r="F36" s="7"/>
      <c r="U36" s="1"/>
    </row>
    <row r="37" spans="5:22">
      <c r="F37" s="7"/>
      <c r="U37" s="1"/>
    </row>
    <row r="38" spans="5:22">
      <c r="F38" s="7"/>
      <c r="U38" s="1"/>
    </row>
    <row r="39" spans="5:22">
      <c r="U39" s="2"/>
      <c r="V39" s="2"/>
    </row>
    <row r="40" spans="5:22">
      <c r="E40" s="5"/>
      <c r="F40" s="5"/>
      <c r="G40" s="5"/>
      <c r="J40" s="2"/>
      <c r="K40" s="2"/>
      <c r="U40" s="1"/>
    </row>
    <row r="41" spans="5:22">
      <c r="E41" s="1"/>
      <c r="F41" s="2"/>
      <c r="G41" s="2"/>
      <c r="U41" s="1"/>
    </row>
    <row r="42" spans="5:22">
      <c r="U42" s="1"/>
    </row>
    <row r="44" spans="5:22">
      <c r="U44" s="2"/>
      <c r="V44" s="2"/>
    </row>
    <row r="45" spans="5:22">
      <c r="U45" s="1"/>
    </row>
    <row r="46" spans="5:22">
      <c r="E46" s="1"/>
      <c r="F46" s="2"/>
      <c r="G46" s="2"/>
      <c r="U46" s="1"/>
    </row>
    <row r="47" spans="5:22">
      <c r="U47" s="1"/>
    </row>
    <row r="48" spans="5:22">
      <c r="U48" s="1"/>
    </row>
    <row r="50" spans="5:7">
      <c r="E50" s="1"/>
      <c r="F50" s="2"/>
      <c r="G50" s="2"/>
    </row>
    <row r="54" spans="5:7">
      <c r="E54" s="1"/>
      <c r="F54" s="2"/>
      <c r="G54" s="2"/>
    </row>
    <row r="58" spans="5:7">
      <c r="E58" s="1"/>
      <c r="F58" s="2"/>
      <c r="G58" s="2"/>
    </row>
    <row r="62" spans="5:7">
      <c r="E62" s="1"/>
      <c r="F62" s="2"/>
      <c r="G62" s="2"/>
    </row>
    <row r="67" spans="5:7">
      <c r="E67" s="5"/>
      <c r="F67" s="5"/>
      <c r="G67" s="5"/>
    </row>
    <row r="68" spans="5:7">
      <c r="E68" s="1"/>
      <c r="F68" s="2"/>
      <c r="G68" s="2"/>
    </row>
    <row r="73" spans="5:7">
      <c r="E73" s="1"/>
      <c r="F73" s="2"/>
      <c r="G73" s="2"/>
    </row>
    <row r="74" spans="5:7">
      <c r="E74" s="1"/>
    </row>
    <row r="75" spans="5:7">
      <c r="E75" s="1"/>
    </row>
    <row r="76" spans="5:7">
      <c r="E76" s="1"/>
      <c r="G76" s="2"/>
    </row>
    <row r="77" spans="5:7">
      <c r="E77" s="1"/>
      <c r="F77" s="4"/>
    </row>
    <row r="78" spans="5:7">
      <c r="E78" s="1"/>
      <c r="F78" s="4"/>
    </row>
    <row r="79" spans="5:7">
      <c r="E79" s="1"/>
      <c r="F79" s="4"/>
    </row>
    <row r="80" spans="5:7">
      <c r="E80" s="1"/>
      <c r="F80" s="2"/>
      <c r="G80" s="2"/>
    </row>
    <row r="81" spans="5:7">
      <c r="E81" s="1"/>
      <c r="F81" s="7"/>
    </row>
    <row r="82" spans="5:7">
      <c r="E82" s="1"/>
      <c r="F82" s="7"/>
    </row>
    <row r="83" spans="5:7">
      <c r="E83" s="1"/>
      <c r="F83" s="7"/>
      <c r="G83" s="2"/>
    </row>
    <row r="84" spans="5:7">
      <c r="E84" s="1"/>
      <c r="F84" s="4"/>
    </row>
    <row r="85" spans="5:7">
      <c r="E85" s="1"/>
      <c r="F85" s="4"/>
    </row>
    <row r="86" spans="5:7">
      <c r="E86" s="1"/>
      <c r="F86" s="7"/>
      <c r="G86" s="2"/>
    </row>
    <row r="87" spans="5:7">
      <c r="E87" s="1"/>
      <c r="F87" s="4"/>
    </row>
    <row r="88" spans="5:7">
      <c r="E88" s="1"/>
      <c r="F88" s="4"/>
    </row>
    <row r="89" spans="5:7">
      <c r="E89" s="1"/>
      <c r="F89" s="2"/>
      <c r="G89" s="2"/>
    </row>
    <row r="90" spans="5:7">
      <c r="E90" s="1"/>
      <c r="F90" s="7"/>
    </row>
    <row r="91" spans="5:7">
      <c r="E91" s="1"/>
      <c r="F91" s="7"/>
    </row>
    <row r="92" spans="5:7">
      <c r="E92" s="1"/>
      <c r="F92" s="7"/>
      <c r="G92" s="2"/>
    </row>
    <row r="93" spans="5:7">
      <c r="E93" s="1"/>
      <c r="F93" s="4"/>
    </row>
    <row r="94" spans="5:7">
      <c r="E94" s="1"/>
      <c r="F94" s="4"/>
    </row>
    <row r="95" spans="5:7">
      <c r="E95" s="1"/>
      <c r="F95" s="2"/>
      <c r="G95" s="2"/>
    </row>
    <row r="96" spans="5:7">
      <c r="E96" s="1"/>
    </row>
    <row r="97" spans="5:7">
      <c r="E97" s="1"/>
    </row>
    <row r="98" spans="5:7">
      <c r="E98" s="1"/>
      <c r="G98" s="2"/>
    </row>
    <row r="99" spans="5:7">
      <c r="E99" s="1"/>
      <c r="F99" s="4"/>
    </row>
    <row r="100" spans="5:7">
      <c r="E100" s="1"/>
      <c r="F100" s="4"/>
    </row>
    <row r="101" spans="5:7">
      <c r="E101" s="1"/>
      <c r="F101" s="2"/>
      <c r="G101" s="2"/>
    </row>
    <row r="102" spans="5:7">
      <c r="E102" s="1"/>
    </row>
    <row r="103" spans="5:7">
      <c r="E103" s="1"/>
    </row>
    <row r="104" spans="5:7">
      <c r="E104" s="1"/>
      <c r="G104" s="2"/>
    </row>
    <row r="105" spans="5:7">
      <c r="E105" s="1"/>
    </row>
    <row r="106" spans="5:7">
      <c r="E106" s="1"/>
    </row>
    <row r="107" spans="5:7">
      <c r="E107" s="1"/>
      <c r="F107" s="2"/>
      <c r="G107" s="2"/>
    </row>
    <row r="108" spans="5:7">
      <c r="E108" s="1"/>
    </row>
    <row r="109" spans="5:7">
      <c r="E109" s="1"/>
    </row>
    <row r="110" spans="5:7">
      <c r="E110" s="1"/>
      <c r="G110" s="2"/>
    </row>
    <row r="111" spans="5:7">
      <c r="E111" s="1"/>
    </row>
    <row r="112" spans="5:7">
      <c r="E112" s="1"/>
    </row>
    <row r="113" spans="5:7">
      <c r="E113" s="1"/>
    </row>
    <row r="114" spans="5:7">
      <c r="E114" s="2"/>
      <c r="F114" s="2"/>
      <c r="G114" s="2"/>
    </row>
    <row r="115" spans="5:7">
      <c r="E115" s="1"/>
    </row>
    <row r="116" spans="5:7">
      <c r="E116" s="1"/>
    </row>
    <row r="117" spans="5:7">
      <c r="E117" s="1"/>
    </row>
    <row r="119" spans="5:7">
      <c r="E119" s="2"/>
      <c r="F119" s="2"/>
      <c r="G11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H59"/>
  <sheetViews>
    <sheetView workbookViewId="0">
      <selection activeCell="A2" sqref="A1:XFD1048576"/>
    </sheetView>
  </sheetViews>
  <sheetFormatPr defaultRowHeight="15"/>
  <cols>
    <col min="1" max="1" width="15" bestFit="1" customWidth="1"/>
    <col min="2" max="2" width="5" bestFit="1" customWidth="1"/>
    <col min="3" max="3" width="3.7109375" customWidth="1"/>
    <col min="4" max="4" width="13.5703125" bestFit="1" customWidth="1"/>
    <col min="5" max="5" width="4" bestFit="1" customWidth="1"/>
    <col min="6" max="6" width="3.7109375" customWidth="1"/>
    <col min="7" max="7" width="16.42578125" bestFit="1" customWidth="1"/>
    <col min="8" max="9" width="3.7109375" customWidth="1"/>
    <col min="10" max="10" width="11.140625" bestFit="1" customWidth="1"/>
    <col min="11" max="11" width="3" bestFit="1" customWidth="1"/>
  </cols>
  <sheetData>
    <row r="2" spans="1:8">
      <c r="A2" s="2"/>
      <c r="B2" s="2"/>
      <c r="D2" s="2"/>
      <c r="E2" s="2"/>
      <c r="G2" s="2"/>
      <c r="H2" s="2"/>
    </row>
    <row r="4" spans="1:8">
      <c r="D4" s="4"/>
    </row>
    <row r="6" spans="1:8">
      <c r="D6" s="4"/>
    </row>
    <row r="7" spans="1:8">
      <c r="G7" s="2"/>
      <c r="H7" s="2"/>
    </row>
    <row r="8" spans="1:8">
      <c r="A8" s="2"/>
      <c r="B8" s="2"/>
      <c r="D8" s="4"/>
    </row>
    <row r="9" spans="1:8">
      <c r="G9" s="4"/>
    </row>
    <row r="10" spans="1:8">
      <c r="D10" s="4"/>
    </row>
    <row r="11" spans="1:8">
      <c r="G11" s="4"/>
    </row>
    <row r="12" spans="1:8">
      <c r="D12" s="4"/>
    </row>
    <row r="13" spans="1:8">
      <c r="G13" s="4"/>
    </row>
    <row r="14" spans="1:8">
      <c r="D14" s="2"/>
      <c r="E14" s="2"/>
    </row>
    <row r="15" spans="1:8">
      <c r="A15" s="2"/>
      <c r="B15" s="2"/>
      <c r="G15" s="4"/>
    </row>
    <row r="16" spans="1:8">
      <c r="D16" s="4"/>
    </row>
    <row r="17" spans="1:8">
      <c r="G17" s="10"/>
      <c r="H17" s="5"/>
    </row>
    <row r="18" spans="1:8">
      <c r="D18" s="4"/>
      <c r="G18" s="2"/>
      <c r="H18" s="2"/>
    </row>
    <row r="19" spans="1:8">
      <c r="G19" s="4"/>
    </row>
    <row r="20" spans="1:8">
      <c r="A20" s="2"/>
      <c r="B20" s="2"/>
      <c r="D20" s="2"/>
      <c r="E20" s="2"/>
      <c r="G20" s="4"/>
    </row>
    <row r="21" spans="1:8">
      <c r="G21" s="4"/>
    </row>
    <row r="22" spans="1:8">
      <c r="D22" s="4"/>
      <c r="G22" s="2"/>
      <c r="H22" s="2"/>
    </row>
    <row r="23" spans="1:8">
      <c r="G23" s="4"/>
    </row>
    <row r="24" spans="1:8">
      <c r="D24" s="4"/>
      <c r="G24" s="4"/>
    </row>
    <row r="25" spans="1:8">
      <c r="A25" s="2"/>
      <c r="B25" s="2"/>
      <c r="G25" s="4"/>
    </row>
    <row r="26" spans="1:8">
      <c r="D26" s="4"/>
      <c r="G26" s="4"/>
    </row>
    <row r="27" spans="1:8">
      <c r="G27" s="2"/>
      <c r="H27" s="2"/>
    </row>
    <row r="28" spans="1:8">
      <c r="D28" s="4"/>
      <c r="G28" s="4"/>
    </row>
    <row r="29" spans="1:8">
      <c r="A29" s="2"/>
      <c r="B29" s="2"/>
      <c r="G29" s="4"/>
    </row>
    <row r="30" spans="1:8">
      <c r="D30" s="2"/>
      <c r="E30" s="2"/>
      <c r="G30" s="4"/>
    </row>
    <row r="32" spans="1:8">
      <c r="G32" s="10"/>
      <c r="H32" s="6"/>
    </row>
    <row r="33" spans="1:7">
      <c r="G33" s="9"/>
    </row>
    <row r="34" spans="1:7">
      <c r="G34" s="4"/>
    </row>
    <row r="35" spans="1:7">
      <c r="D35" s="2"/>
      <c r="E35" s="2"/>
      <c r="G35" s="4"/>
    </row>
    <row r="36" spans="1:7">
      <c r="A36" s="2"/>
      <c r="B36" s="2"/>
      <c r="G36" s="4"/>
    </row>
    <row r="37" spans="1:7">
      <c r="D37" s="4"/>
      <c r="G37" s="2"/>
    </row>
    <row r="38" spans="1:7">
      <c r="G38" s="4"/>
    </row>
    <row r="39" spans="1:7">
      <c r="D39" s="4"/>
      <c r="G39" s="4"/>
    </row>
    <row r="40" spans="1:7">
      <c r="G40" s="4"/>
    </row>
    <row r="41" spans="1:7">
      <c r="A41" s="2"/>
      <c r="B41" s="2"/>
      <c r="D41" s="4"/>
      <c r="G41" s="2"/>
    </row>
    <row r="43" spans="1:7">
      <c r="D43" s="4"/>
    </row>
    <row r="45" spans="1:7">
      <c r="D45" s="4"/>
    </row>
    <row r="46" spans="1:7">
      <c r="D46" s="4"/>
      <c r="E46" s="2"/>
    </row>
    <row r="47" spans="1:7">
      <c r="D47" s="2"/>
      <c r="E47" s="2"/>
    </row>
    <row r="50" spans="4:5">
      <c r="E50" s="2"/>
    </row>
    <row r="51" spans="4:5">
      <c r="D51" s="2"/>
      <c r="E51" s="2"/>
    </row>
    <row r="53" spans="4:5">
      <c r="D53" s="4"/>
    </row>
    <row r="55" spans="4:5">
      <c r="D55" s="4"/>
    </row>
    <row r="57" spans="4:5">
      <c r="D57" s="4"/>
    </row>
    <row r="59" spans="4:5">
      <c r="D5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Fifth Column Designs,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jmadden</dc:creator>
  <cp:lastModifiedBy>jmadden</cp:lastModifiedBy>
  <dcterms:created xsi:type="dcterms:W3CDTF">2009-08-29T00:07:58Z</dcterms:created>
  <dcterms:modified xsi:type="dcterms:W3CDTF">2009-08-29T16:57:58Z</dcterms:modified>
</cp:coreProperties>
</file>