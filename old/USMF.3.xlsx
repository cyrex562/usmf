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9095" windowHeight="84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2" i="1"/>
  <c r="J2"/>
  <c r="J8" s="1"/>
  <c r="J6" s="1"/>
  <c r="J13" s="1"/>
  <c r="J10" s="1"/>
  <c r="O34" s="1"/>
  <c r="U10" l="1"/>
  <c r="U14"/>
  <c r="U12"/>
  <c r="W9"/>
  <c r="U9"/>
  <c r="U11"/>
  <c r="U13"/>
  <c r="W11"/>
  <c r="W10"/>
  <c r="S9"/>
  <c r="S11"/>
  <c r="S10"/>
  <c r="Q9"/>
  <c r="Q11"/>
  <c r="Q10"/>
  <c r="Q12"/>
  <c r="O16"/>
  <c r="O22"/>
  <c r="O25"/>
  <c r="O27"/>
  <c r="O29"/>
  <c r="O31"/>
  <c r="O33"/>
  <c r="O35"/>
  <c r="O18"/>
  <c r="O17"/>
  <c r="O23"/>
  <c r="O21"/>
  <c r="O26"/>
  <c r="O28"/>
  <c r="O32"/>
  <c r="J17"/>
  <c r="J16"/>
  <c r="W8" l="1"/>
  <c r="O12" s="1"/>
  <c r="U8"/>
  <c r="O11" s="1"/>
  <c r="S8"/>
  <c r="O10" s="1"/>
  <c r="Q8"/>
  <c r="O9" s="1"/>
  <c r="O20"/>
  <c r="O5" s="1"/>
  <c r="O30"/>
  <c r="O7" s="1"/>
  <c r="O24"/>
  <c r="O6" s="1"/>
  <c r="O15"/>
  <c r="O4" s="1"/>
  <c r="J15"/>
  <c r="J21" s="1"/>
  <c r="O8" l="1"/>
  <c r="O3" s="1"/>
  <c r="O2" s="1"/>
  <c r="L25" s="1"/>
  <c r="J20"/>
  <c r="J19" s="1"/>
  <c r="J36" l="1"/>
  <c r="L24"/>
  <c r="L23" s="1"/>
  <c r="J32"/>
  <c r="J28"/>
  <c r="J25"/>
  <c r="J24"/>
  <c r="J23" l="1"/>
  <c r="J29" s="1"/>
  <c r="J27" s="1"/>
  <c r="J33" s="1"/>
  <c r="J31" s="1"/>
  <c r="J37" s="1"/>
  <c r="J35" s="1"/>
</calcChain>
</file>

<file path=xl/sharedStrings.xml><?xml version="1.0" encoding="utf-8"?>
<sst xmlns="http://schemas.openxmlformats.org/spreadsheetml/2006/main" count="146" uniqueCount="126">
  <si>
    <t>3x PAX</t>
  </si>
  <si>
    <t>2x PAX</t>
  </si>
  <si>
    <t>C4ISR</t>
  </si>
  <si>
    <t>Squad LDR</t>
  </si>
  <si>
    <t>Squad (SQD) A</t>
  </si>
  <si>
    <t>Team (TM) A</t>
  </si>
  <si>
    <t>TM leader (LDR)</t>
  </si>
  <si>
    <t>2x TEAM A</t>
  </si>
  <si>
    <t>TM B</t>
  </si>
  <si>
    <t>Platoon (PLT) A</t>
  </si>
  <si>
    <t>PLT LDR</t>
  </si>
  <si>
    <t>PLT SGT</t>
  </si>
  <si>
    <t>4x SQD</t>
  </si>
  <si>
    <t>Company (CO) A</t>
  </si>
  <si>
    <t>CO HQ PLT</t>
  </si>
  <si>
    <t>3x PLT A</t>
  </si>
  <si>
    <t>Battalion (BN) A</t>
  </si>
  <si>
    <t>BN HQ CO</t>
  </si>
  <si>
    <t>3x CO A</t>
  </si>
  <si>
    <t>Brigade (BDE) A</t>
  </si>
  <si>
    <t>BDE HQ BN</t>
  </si>
  <si>
    <t>3x BN A</t>
  </si>
  <si>
    <t>Division (DIV) A</t>
  </si>
  <si>
    <t>DIV HQ BN</t>
  </si>
  <si>
    <t>3x DIV A</t>
  </si>
  <si>
    <t>Corps (CORPS) A</t>
  </si>
  <si>
    <t>CORPS HQ BN</t>
  </si>
  <si>
    <t>3x BDE A</t>
  </si>
  <si>
    <t>Field Army (ARMY) A</t>
  </si>
  <si>
    <t>ARMY HQ BN</t>
  </si>
  <si>
    <t>3x CORPS A</t>
  </si>
  <si>
    <t>Infantry</t>
  </si>
  <si>
    <t>Cavalry</t>
  </si>
  <si>
    <t>Fires</t>
  </si>
  <si>
    <t>IW/EW</t>
  </si>
  <si>
    <t>Maneuver Enh.</t>
  </si>
  <si>
    <t>Effects</t>
  </si>
  <si>
    <t>Maneuver</t>
  </si>
  <si>
    <t>Sustainment</t>
  </si>
  <si>
    <t>AMD</t>
  </si>
  <si>
    <t>MP</t>
  </si>
  <si>
    <t>CBRNE</t>
  </si>
  <si>
    <t>Engineers</t>
  </si>
  <si>
    <t>Supply</t>
  </si>
  <si>
    <t>Maintenance</t>
  </si>
  <si>
    <t>Medical</t>
  </si>
  <si>
    <t>Field Services</t>
  </si>
  <si>
    <t>C2</t>
  </si>
  <si>
    <t>OPS</t>
  </si>
  <si>
    <t>ADMIN</t>
  </si>
  <si>
    <t>ISR</t>
  </si>
  <si>
    <t>Signal</t>
  </si>
  <si>
    <t>CPL</t>
  </si>
  <si>
    <t>SGT</t>
  </si>
  <si>
    <t>2LT</t>
  </si>
  <si>
    <t>SFC</t>
  </si>
  <si>
    <t>CPT</t>
  </si>
  <si>
    <t>1LT</t>
  </si>
  <si>
    <t>1SG</t>
  </si>
  <si>
    <t>LTC</t>
  </si>
  <si>
    <t>MAJ</t>
  </si>
  <si>
    <t>CSM</t>
  </si>
  <si>
    <t>COL</t>
  </si>
  <si>
    <t>MG</t>
  </si>
  <si>
    <t>BG</t>
  </si>
  <si>
    <t>LTG</t>
  </si>
  <si>
    <t>GEN</t>
  </si>
  <si>
    <t>Light CAB</t>
  </si>
  <si>
    <t>Medium CAB</t>
  </si>
  <si>
    <t>Heavy CAB</t>
  </si>
  <si>
    <t>CAB Structure</t>
  </si>
  <si>
    <t>C4ISR CO</t>
  </si>
  <si>
    <t>3x MNVR CO</t>
  </si>
  <si>
    <t>EFF CO</t>
  </si>
  <si>
    <t>ME CO</t>
  </si>
  <si>
    <t>SUST CO</t>
  </si>
  <si>
    <t>C2 PLT</t>
  </si>
  <si>
    <t>ISR PLT</t>
  </si>
  <si>
    <t>SIG PLT</t>
  </si>
  <si>
    <t>3x INF PLT</t>
  </si>
  <si>
    <t>CAV PLT</t>
  </si>
  <si>
    <t>Brigade Combat Team (BCT) A</t>
  </si>
  <si>
    <t>BCT HQ BN</t>
  </si>
  <si>
    <t>3x CAB</t>
  </si>
  <si>
    <t>FIRES PLT</t>
  </si>
  <si>
    <t>IW/EW PLT</t>
  </si>
  <si>
    <t>AMD PLT</t>
  </si>
  <si>
    <t>CBRNE PLT</t>
  </si>
  <si>
    <t>MP PLT</t>
  </si>
  <si>
    <t>ENG PLT</t>
  </si>
  <si>
    <t>SPLY PLT</t>
  </si>
  <si>
    <t>MED PLT</t>
  </si>
  <si>
    <t>FLD SVC PLT</t>
  </si>
  <si>
    <t>MAINT PLT</t>
  </si>
  <si>
    <t>Recon</t>
  </si>
  <si>
    <t>Unm Surv Veh</t>
  </si>
  <si>
    <t>Ele. Surv</t>
  </si>
  <si>
    <t>HUMINT</t>
  </si>
  <si>
    <t>Intel OPS</t>
  </si>
  <si>
    <t>C4ISR CO A</t>
  </si>
  <si>
    <t>MNVR CO A</t>
  </si>
  <si>
    <t>EFF CO A</t>
  </si>
  <si>
    <t>ME CO A</t>
  </si>
  <si>
    <t>SUST CO A</t>
  </si>
  <si>
    <t>CO HQ PLT A</t>
  </si>
  <si>
    <t>C4ISR SQD</t>
  </si>
  <si>
    <t>SUST SQD</t>
  </si>
  <si>
    <t>ME SQD</t>
  </si>
  <si>
    <t>C2 PLT A</t>
  </si>
  <si>
    <t>HQ SQD</t>
  </si>
  <si>
    <t>PLT B</t>
  </si>
  <si>
    <t>3x SQD</t>
  </si>
  <si>
    <t>CMD SQD</t>
  </si>
  <si>
    <t>CMD</t>
  </si>
  <si>
    <t>STAFF</t>
  </si>
  <si>
    <t>STAFF SQD</t>
  </si>
  <si>
    <t>ISR PLT A</t>
  </si>
  <si>
    <t>RECON SQD</t>
  </si>
  <si>
    <t>USV SQD</t>
  </si>
  <si>
    <t>ES SQD</t>
  </si>
  <si>
    <t>HUMINT SQD</t>
  </si>
  <si>
    <t>INT OPS SQD</t>
  </si>
  <si>
    <t>SIG PLT A</t>
  </si>
  <si>
    <t>NETWORKS SQD</t>
  </si>
  <si>
    <t>SYS SQD</t>
  </si>
  <si>
    <t>CO HQ PLT 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</si>
</sst>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ont="1"/>
    <xf numFmtId="0" fontId="0" fillId="3" borderId="0" xfId="0" applyFont="1" applyFill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/>
    <xf numFmtId="0" fontId="0" fillId="0" borderId="3" xfId="0" applyFill="1" applyBorder="1"/>
    <xf numFmtId="0" fontId="0" fillId="0" borderId="2" xfId="0" applyBorder="1"/>
    <xf numFmtId="0" fontId="0" fillId="0" borderId="5" xfId="0" applyFill="1" applyBorder="1"/>
    <xf numFmtId="0" fontId="1" fillId="0" borderId="1" xfId="0" applyFont="1" applyFill="1" applyBorder="1"/>
    <xf numFmtId="0" fontId="0" fillId="8" borderId="0" xfId="0" applyFill="1"/>
    <xf numFmtId="0" fontId="2" fillId="0" borderId="2" xfId="0" applyFont="1" applyBorder="1"/>
    <xf numFmtId="0" fontId="0" fillId="0" borderId="3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0" xfId="0" applyFont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W37"/>
  <sheetViews>
    <sheetView tabSelected="1" topLeftCell="G1" zoomScale="90" zoomScaleNormal="90" workbookViewId="0">
      <selection activeCell="N19" sqref="N19:O19"/>
    </sheetView>
  </sheetViews>
  <sheetFormatPr defaultRowHeight="15"/>
  <cols>
    <col min="2" max="2" width="14.5703125" bestFit="1" customWidth="1"/>
    <col min="3" max="6" width="14.5703125" customWidth="1"/>
    <col min="7" max="7" width="2.85546875" customWidth="1"/>
    <col min="8" max="8" width="4.28515625" bestFit="1" customWidth="1"/>
    <col min="9" max="9" width="19.5703125" bestFit="1" customWidth="1"/>
    <col min="10" max="10" width="6" bestFit="1" customWidth="1"/>
    <col min="11" max="11" width="27.7109375" bestFit="1" customWidth="1"/>
    <col min="12" max="12" width="5" bestFit="1" customWidth="1"/>
    <col min="14" max="14" width="13.28515625" bestFit="1" customWidth="1"/>
    <col min="15" max="15" width="5.5703125" bestFit="1" customWidth="1"/>
    <col min="16" max="16" width="12" bestFit="1" customWidth="1"/>
    <col min="17" max="17" width="3.28515625" bestFit="1" customWidth="1"/>
    <col min="18" max="18" width="10.42578125" bestFit="1" customWidth="1"/>
    <col min="19" max="19" width="3.28515625" bestFit="1" customWidth="1"/>
    <col min="20" max="20" width="12.42578125" bestFit="1" customWidth="1"/>
    <col min="21" max="21" width="3.28515625" bestFit="1" customWidth="1"/>
    <col min="22" max="22" width="15.28515625" bestFit="1" customWidth="1"/>
    <col min="23" max="23" width="3.28515625" bestFit="1" customWidth="1"/>
  </cols>
  <sheetData>
    <row r="1" spans="2:23" ht="15.75" thickBot="1"/>
    <row r="2" spans="2:23">
      <c r="B2" s="2" t="s">
        <v>37</v>
      </c>
      <c r="C2" s="2" t="s">
        <v>31</v>
      </c>
      <c r="D2" s="2"/>
      <c r="E2" s="2"/>
      <c r="F2" s="2"/>
      <c r="H2" t="s">
        <v>52</v>
      </c>
      <c r="I2" s="10" t="s">
        <v>5</v>
      </c>
      <c r="J2" s="11">
        <f>SUM(J3:J4)</f>
        <v>4</v>
      </c>
      <c r="K2" s="10" t="s">
        <v>8</v>
      </c>
      <c r="L2" s="11">
        <f>SUM(L3)</f>
        <v>2</v>
      </c>
      <c r="N2" s="16" t="s">
        <v>70</v>
      </c>
      <c r="O2" s="22">
        <f>SUM(O3:O7)</f>
        <v>1208</v>
      </c>
    </row>
    <row r="3" spans="2:23" ht="15.75" thickBot="1">
      <c r="C3" s="5" t="s">
        <v>32</v>
      </c>
      <c r="D3" s="5"/>
      <c r="E3" s="5"/>
      <c r="F3" s="5"/>
      <c r="I3" s="12" t="s">
        <v>6</v>
      </c>
      <c r="J3" s="13">
        <v>1</v>
      </c>
      <c r="K3" s="14" t="s">
        <v>1</v>
      </c>
      <c r="L3" s="15">
        <v>2</v>
      </c>
      <c r="N3" s="12" t="s">
        <v>71</v>
      </c>
      <c r="O3" s="13">
        <f>O8</f>
        <v>144</v>
      </c>
    </row>
    <row r="4" spans="2:23" ht="15.75" thickBot="1">
      <c r="B4" s="4" t="s">
        <v>36</v>
      </c>
      <c r="C4" s="4" t="s">
        <v>33</v>
      </c>
      <c r="D4" s="4"/>
      <c r="E4" s="4"/>
      <c r="F4" s="4"/>
      <c r="I4" s="14" t="s">
        <v>0</v>
      </c>
      <c r="J4" s="15">
        <v>3</v>
      </c>
      <c r="N4" s="12" t="s">
        <v>72</v>
      </c>
      <c r="O4" s="13">
        <f>O15*3</f>
        <v>570</v>
      </c>
    </row>
    <row r="5" spans="2:23" ht="15.75" thickBot="1">
      <c r="C5" s="7" t="s">
        <v>34</v>
      </c>
      <c r="D5" s="7"/>
      <c r="E5" s="7"/>
      <c r="F5" s="7"/>
      <c r="N5" s="12" t="s">
        <v>73</v>
      </c>
      <c r="O5" s="13">
        <f>O20</f>
        <v>114</v>
      </c>
    </row>
    <row r="6" spans="2:23">
      <c r="B6" s="9" t="s">
        <v>35</v>
      </c>
      <c r="C6" s="4" t="s">
        <v>39</v>
      </c>
      <c r="D6" s="4"/>
      <c r="E6" s="4"/>
      <c r="F6" s="4"/>
      <c r="H6" t="s">
        <v>53</v>
      </c>
      <c r="I6" s="10" t="s">
        <v>4</v>
      </c>
      <c r="J6" s="11">
        <f>SUM(J7:J8)</f>
        <v>9</v>
      </c>
      <c r="N6" s="12" t="s">
        <v>74</v>
      </c>
      <c r="O6" s="13">
        <f>O24</f>
        <v>190</v>
      </c>
    </row>
    <row r="7" spans="2:23" ht="15.75" thickBot="1">
      <c r="B7" s="8"/>
      <c r="C7" s="3" t="s">
        <v>40</v>
      </c>
      <c r="D7" s="3"/>
      <c r="E7" s="3"/>
      <c r="F7" s="3"/>
      <c r="I7" s="12" t="s">
        <v>3</v>
      </c>
      <c r="J7" s="13">
        <v>1</v>
      </c>
      <c r="N7" s="14" t="s">
        <v>75</v>
      </c>
      <c r="O7" s="15">
        <f>O30</f>
        <v>190</v>
      </c>
    </row>
    <row r="8" spans="2:23" ht="15.75" thickBot="1">
      <c r="B8" s="8"/>
      <c r="C8" s="3" t="s">
        <v>41</v>
      </c>
      <c r="D8" s="3"/>
      <c r="E8" s="3"/>
      <c r="F8" s="3"/>
      <c r="I8" s="14" t="s">
        <v>7</v>
      </c>
      <c r="J8" s="15">
        <f>J2*2</f>
        <v>8</v>
      </c>
      <c r="N8" s="20" t="s">
        <v>99</v>
      </c>
      <c r="O8" s="11">
        <f>SUM(O9:O12)</f>
        <v>144</v>
      </c>
      <c r="P8" s="10" t="s">
        <v>104</v>
      </c>
      <c r="Q8" s="18">
        <f>SUM(Q9:Q12)</f>
        <v>36</v>
      </c>
      <c r="R8" s="10" t="s">
        <v>108</v>
      </c>
      <c r="S8" s="30">
        <f>SUM(S9:S11)</f>
        <v>27</v>
      </c>
      <c r="T8" s="10" t="s">
        <v>116</v>
      </c>
      <c r="U8" s="11">
        <f>SUM(U9:U14)</f>
        <v>54</v>
      </c>
      <c r="V8" s="10" t="s">
        <v>122</v>
      </c>
      <c r="W8" s="11">
        <f>SUM(W9:W11)</f>
        <v>27</v>
      </c>
    </row>
    <row r="9" spans="2:23" ht="15.75" thickBot="1">
      <c r="B9" s="8"/>
      <c r="C9" s="3" t="s">
        <v>42</v>
      </c>
      <c r="D9" s="3"/>
      <c r="E9" s="3"/>
      <c r="F9" s="3"/>
      <c r="N9" s="17" t="s">
        <v>14</v>
      </c>
      <c r="O9" s="13">
        <f>Q8</f>
        <v>36</v>
      </c>
      <c r="P9" s="23" t="s">
        <v>109</v>
      </c>
      <c r="Q9" s="13">
        <f>J6</f>
        <v>9</v>
      </c>
      <c r="R9" s="12" t="s">
        <v>109</v>
      </c>
      <c r="S9" s="28">
        <f>J6</f>
        <v>9</v>
      </c>
      <c r="T9" s="12" t="s">
        <v>109</v>
      </c>
      <c r="U9" s="13">
        <f>J6</f>
        <v>9</v>
      </c>
      <c r="V9" s="12" t="s">
        <v>109</v>
      </c>
      <c r="W9" s="13">
        <f>J6</f>
        <v>9</v>
      </c>
    </row>
    <row r="10" spans="2:23">
      <c r="B10" s="6" t="s">
        <v>38</v>
      </c>
      <c r="C10" s="6" t="s">
        <v>43</v>
      </c>
      <c r="D10" s="6"/>
      <c r="E10" s="6"/>
      <c r="F10" s="6"/>
      <c r="H10" t="s">
        <v>54</v>
      </c>
      <c r="I10" s="10" t="s">
        <v>9</v>
      </c>
      <c r="J10" s="11">
        <f>SUM(J11:J13)</f>
        <v>38</v>
      </c>
      <c r="K10" s="24" t="s">
        <v>110</v>
      </c>
      <c r="L10" s="1"/>
      <c r="N10" s="17" t="s">
        <v>76</v>
      </c>
      <c r="O10" s="13">
        <f>S8</f>
        <v>27</v>
      </c>
      <c r="P10" s="12" t="s">
        <v>105</v>
      </c>
      <c r="Q10" s="13">
        <f>J6</f>
        <v>9</v>
      </c>
      <c r="R10" s="12" t="s">
        <v>112</v>
      </c>
      <c r="S10" s="28">
        <f>J6</f>
        <v>9</v>
      </c>
      <c r="T10" s="12" t="s">
        <v>117</v>
      </c>
      <c r="U10" s="13">
        <f>J6</f>
        <v>9</v>
      </c>
      <c r="V10" s="12" t="s">
        <v>123</v>
      </c>
      <c r="W10" s="13">
        <f>J6</f>
        <v>9</v>
      </c>
    </row>
    <row r="11" spans="2:23" ht="15.75" thickBot="1">
      <c r="C11" s="6" t="s">
        <v>44</v>
      </c>
      <c r="D11" s="6"/>
      <c r="E11" s="6"/>
      <c r="F11" s="6"/>
      <c r="H11" t="s">
        <v>55</v>
      </c>
      <c r="I11" s="12" t="s">
        <v>10</v>
      </c>
      <c r="J11" s="13">
        <v>1</v>
      </c>
      <c r="K11" s="25" t="s">
        <v>109</v>
      </c>
      <c r="N11" s="17" t="s">
        <v>77</v>
      </c>
      <c r="O11" s="13">
        <f>U8</f>
        <v>54</v>
      </c>
      <c r="P11" s="12" t="s">
        <v>106</v>
      </c>
      <c r="Q11" s="13">
        <f>J6</f>
        <v>9</v>
      </c>
      <c r="R11" s="14" t="s">
        <v>115</v>
      </c>
      <c r="S11" s="29">
        <f>J6</f>
        <v>9</v>
      </c>
      <c r="T11" s="12" t="s">
        <v>118</v>
      </c>
      <c r="U11" s="13">
        <f>J6</f>
        <v>9</v>
      </c>
      <c r="V11" s="14" t="s">
        <v>124</v>
      </c>
      <c r="W11" s="15">
        <f>J6</f>
        <v>9</v>
      </c>
    </row>
    <row r="12" spans="2:23" ht="15.75" thickBot="1">
      <c r="C12" s="6" t="s">
        <v>45</v>
      </c>
      <c r="D12" s="6"/>
      <c r="E12" s="6"/>
      <c r="F12" s="6"/>
      <c r="I12" s="12" t="s">
        <v>11</v>
      </c>
      <c r="J12" s="13">
        <v>1</v>
      </c>
      <c r="K12" s="26" t="s">
        <v>111</v>
      </c>
      <c r="N12" s="19" t="s">
        <v>78</v>
      </c>
      <c r="O12" s="15">
        <f>W8</f>
        <v>27</v>
      </c>
      <c r="P12" s="14" t="s">
        <v>107</v>
      </c>
      <c r="Q12" s="15">
        <f>J6</f>
        <v>9</v>
      </c>
      <c r="R12" s="28"/>
      <c r="S12" s="28"/>
      <c r="T12" s="12" t="s">
        <v>119</v>
      </c>
      <c r="U12" s="13">
        <f>J6</f>
        <v>9</v>
      </c>
    </row>
    <row r="13" spans="2:23" ht="15.75" thickBot="1">
      <c r="C13" s="6" t="s">
        <v>46</v>
      </c>
      <c r="D13" s="6"/>
      <c r="E13" s="6"/>
      <c r="F13" s="6"/>
      <c r="I13" s="14" t="s">
        <v>12</v>
      </c>
      <c r="J13" s="15">
        <f>J6*4</f>
        <v>36</v>
      </c>
      <c r="N13" s="31"/>
      <c r="O13" s="27"/>
      <c r="T13" s="12" t="s">
        <v>120</v>
      </c>
      <c r="U13" s="13">
        <f>J6</f>
        <v>9</v>
      </c>
    </row>
    <row r="14" spans="2:23" ht="15.75" thickBot="1">
      <c r="B14" s="7" t="s">
        <v>2</v>
      </c>
      <c r="C14" s="2" t="s">
        <v>47</v>
      </c>
      <c r="D14" s="2"/>
      <c r="E14" s="2" t="s">
        <v>113</v>
      </c>
      <c r="F14" s="2"/>
      <c r="N14" s="32"/>
      <c r="O14" s="29"/>
      <c r="T14" s="14" t="s">
        <v>121</v>
      </c>
      <c r="U14" s="15">
        <f>J6</f>
        <v>9</v>
      </c>
    </row>
    <row r="15" spans="2:23">
      <c r="B15" s="7"/>
      <c r="C15" s="2"/>
      <c r="D15" s="2"/>
      <c r="E15" s="2" t="s">
        <v>114</v>
      </c>
      <c r="F15" s="2" t="s">
        <v>48</v>
      </c>
      <c r="H15" t="s">
        <v>56</v>
      </c>
      <c r="I15" s="10" t="s">
        <v>13</v>
      </c>
      <c r="J15" s="11">
        <f>SUM(J16:J17)</f>
        <v>152</v>
      </c>
      <c r="N15" s="20" t="s">
        <v>100</v>
      </c>
      <c r="O15" s="11">
        <f>SUM(O16:O18)</f>
        <v>190</v>
      </c>
      <c r="P15" t="s">
        <v>125</v>
      </c>
    </row>
    <row r="16" spans="2:23">
      <c r="C16" s="2"/>
      <c r="D16" s="2"/>
      <c r="E16" s="2"/>
      <c r="F16" s="2" t="s">
        <v>49</v>
      </c>
      <c r="H16" t="s">
        <v>57</v>
      </c>
      <c r="I16" s="12" t="s">
        <v>14</v>
      </c>
      <c r="J16" s="13">
        <f>J10</f>
        <v>38</v>
      </c>
      <c r="N16" s="17" t="s">
        <v>14</v>
      </c>
      <c r="O16" s="13">
        <f>J10</f>
        <v>38</v>
      </c>
      <c r="P16" t="s">
        <v>109</v>
      </c>
    </row>
    <row r="17" spans="2:16" ht="15.75" thickBot="1">
      <c r="C17" s="21" t="s">
        <v>50</v>
      </c>
      <c r="D17" s="21" t="s">
        <v>94</v>
      </c>
      <c r="E17" s="21"/>
      <c r="F17" s="21"/>
      <c r="H17" t="s">
        <v>58</v>
      </c>
      <c r="I17" s="14" t="s">
        <v>15</v>
      </c>
      <c r="J17" s="15">
        <f>J10*3</f>
        <v>114</v>
      </c>
      <c r="N17" s="17" t="s">
        <v>79</v>
      </c>
      <c r="O17" s="13">
        <f>J10*3</f>
        <v>114</v>
      </c>
      <c r="P17" t="s">
        <v>105</v>
      </c>
    </row>
    <row r="18" spans="2:16" ht="15.75" thickBot="1">
      <c r="C18" s="21"/>
      <c r="D18" s="21" t="s">
        <v>95</v>
      </c>
      <c r="E18" s="21"/>
      <c r="F18" s="21"/>
      <c r="N18" s="19" t="s">
        <v>80</v>
      </c>
      <c r="O18" s="15">
        <f>J10</f>
        <v>38</v>
      </c>
      <c r="P18" t="s">
        <v>106</v>
      </c>
    </row>
    <row r="19" spans="2:16" ht="15.75" thickBot="1">
      <c r="C19" s="21"/>
      <c r="D19" s="21" t="s">
        <v>96</v>
      </c>
      <c r="E19" s="21"/>
      <c r="F19" s="21"/>
      <c r="H19" t="s">
        <v>59</v>
      </c>
      <c r="I19" s="10" t="s">
        <v>16</v>
      </c>
      <c r="J19" s="11">
        <f>SUM(J20:J21)</f>
        <v>608</v>
      </c>
      <c r="N19" s="33"/>
      <c r="O19" s="34"/>
      <c r="P19" t="s">
        <v>107</v>
      </c>
    </row>
    <row r="20" spans="2:16">
      <c r="C20" s="21"/>
      <c r="D20" s="21" t="s">
        <v>97</v>
      </c>
      <c r="E20" s="21"/>
      <c r="F20" s="21"/>
      <c r="H20" t="s">
        <v>60</v>
      </c>
      <c r="I20" s="12" t="s">
        <v>17</v>
      </c>
      <c r="J20" s="13">
        <f>J15</f>
        <v>152</v>
      </c>
      <c r="N20" s="20" t="s">
        <v>101</v>
      </c>
      <c r="O20" s="11">
        <f>SUM(O21:O23)</f>
        <v>114</v>
      </c>
    </row>
    <row r="21" spans="2:16" ht="15.75" thickBot="1">
      <c r="B21" t="s">
        <v>67</v>
      </c>
      <c r="C21" s="21"/>
      <c r="D21" s="21" t="s">
        <v>98</v>
      </c>
      <c r="E21" s="21"/>
      <c r="F21" s="21"/>
      <c r="H21" t="s">
        <v>61</v>
      </c>
      <c r="I21" s="14" t="s">
        <v>18</v>
      </c>
      <c r="J21" s="15">
        <f>J15*3</f>
        <v>456</v>
      </c>
      <c r="N21" s="17" t="s">
        <v>14</v>
      </c>
      <c r="O21" s="13">
        <f>J10</f>
        <v>38</v>
      </c>
    </row>
    <row r="22" spans="2:16" ht="15.75" thickBot="1">
      <c r="B22" t="s">
        <v>68</v>
      </c>
      <c r="C22" s="7" t="s">
        <v>51</v>
      </c>
      <c r="N22" s="17" t="s">
        <v>84</v>
      </c>
      <c r="O22" s="13">
        <f>J10</f>
        <v>38</v>
      </c>
    </row>
    <row r="23" spans="2:16" ht="15.75" thickBot="1">
      <c r="B23" t="s">
        <v>69</v>
      </c>
      <c r="H23" t="s">
        <v>62</v>
      </c>
      <c r="I23" s="10" t="s">
        <v>19</v>
      </c>
      <c r="J23" s="11">
        <f>SUM(J24:J25)</f>
        <v>2432</v>
      </c>
      <c r="K23" s="10" t="s">
        <v>81</v>
      </c>
      <c r="L23" s="11">
        <f>SUM(L24:L25)</f>
        <v>4232</v>
      </c>
      <c r="N23" s="19" t="s">
        <v>85</v>
      </c>
      <c r="O23" s="15">
        <f>J10</f>
        <v>38</v>
      </c>
    </row>
    <row r="24" spans="2:16">
      <c r="H24" t="s">
        <v>59</v>
      </c>
      <c r="I24" s="12" t="s">
        <v>20</v>
      </c>
      <c r="J24" s="13">
        <f>J19</f>
        <v>608</v>
      </c>
      <c r="K24" s="12" t="s">
        <v>82</v>
      </c>
      <c r="L24" s="13">
        <f>J19</f>
        <v>608</v>
      </c>
      <c r="N24" s="20" t="s">
        <v>102</v>
      </c>
      <c r="O24" s="11">
        <f>SUM(O25:O29)</f>
        <v>190</v>
      </c>
    </row>
    <row r="25" spans="2:16" ht="15.75" thickBot="1">
      <c r="H25" t="s">
        <v>61</v>
      </c>
      <c r="I25" s="14" t="s">
        <v>21</v>
      </c>
      <c r="J25" s="15">
        <f>J19*3</f>
        <v>1824</v>
      </c>
      <c r="K25" s="14" t="s">
        <v>83</v>
      </c>
      <c r="L25" s="15">
        <f>O2*3</f>
        <v>3624</v>
      </c>
      <c r="N25" s="17" t="s">
        <v>14</v>
      </c>
      <c r="O25" s="13">
        <f>J10</f>
        <v>38</v>
      </c>
    </row>
    <row r="26" spans="2:16" ht="15.75" thickBot="1">
      <c r="N26" s="17" t="s">
        <v>86</v>
      </c>
      <c r="O26" s="13">
        <f>J10</f>
        <v>38</v>
      </c>
    </row>
    <row r="27" spans="2:16">
      <c r="H27" t="s">
        <v>63</v>
      </c>
      <c r="I27" s="10" t="s">
        <v>22</v>
      </c>
      <c r="J27" s="11">
        <f>SUM(J28:J29)</f>
        <v>7904</v>
      </c>
      <c r="N27" s="17" t="s">
        <v>87</v>
      </c>
      <c r="O27" s="13">
        <f>J10</f>
        <v>38</v>
      </c>
    </row>
    <row r="28" spans="2:16">
      <c r="H28" t="s">
        <v>64</v>
      </c>
      <c r="I28" s="12" t="s">
        <v>23</v>
      </c>
      <c r="J28" s="13">
        <f>J19</f>
        <v>608</v>
      </c>
      <c r="N28" s="17" t="s">
        <v>88</v>
      </c>
      <c r="O28" s="13">
        <f>J10</f>
        <v>38</v>
      </c>
    </row>
    <row r="29" spans="2:16" ht="15.75" thickBot="1">
      <c r="H29" t="s">
        <v>61</v>
      </c>
      <c r="I29" s="14" t="s">
        <v>27</v>
      </c>
      <c r="J29" s="15">
        <f>J23*3</f>
        <v>7296</v>
      </c>
      <c r="N29" s="19" t="s">
        <v>89</v>
      </c>
      <c r="O29" s="15">
        <f>J10</f>
        <v>38</v>
      </c>
    </row>
    <row r="30" spans="2:16" ht="15.75" thickBot="1">
      <c r="N30" s="20" t="s">
        <v>103</v>
      </c>
      <c r="O30" s="11">
        <f>SUM(O31:O35)</f>
        <v>190</v>
      </c>
    </row>
    <row r="31" spans="2:16">
      <c r="H31" t="s">
        <v>65</v>
      </c>
      <c r="I31" s="10" t="s">
        <v>25</v>
      </c>
      <c r="J31" s="11">
        <f>SUM(J32:J33)</f>
        <v>24320</v>
      </c>
      <c r="N31" s="17" t="s">
        <v>14</v>
      </c>
      <c r="O31" s="13">
        <f>J10</f>
        <v>38</v>
      </c>
    </row>
    <row r="32" spans="2:16">
      <c r="H32" t="s">
        <v>63</v>
      </c>
      <c r="I32" s="12" t="s">
        <v>26</v>
      </c>
      <c r="J32" s="13">
        <f>J19</f>
        <v>608</v>
      </c>
      <c r="N32" s="17" t="s">
        <v>90</v>
      </c>
      <c r="O32" s="13">
        <f>J10</f>
        <v>38</v>
      </c>
    </row>
    <row r="33" spans="8:15" ht="15.75" thickBot="1">
      <c r="H33" t="s">
        <v>61</v>
      </c>
      <c r="I33" s="14" t="s">
        <v>24</v>
      </c>
      <c r="J33" s="15">
        <f>J27*3</f>
        <v>23712</v>
      </c>
      <c r="N33" s="17" t="s">
        <v>93</v>
      </c>
      <c r="O33" s="13">
        <f>J10</f>
        <v>38</v>
      </c>
    </row>
    <row r="34" spans="8:15" ht="15.75" thickBot="1">
      <c r="N34" s="17" t="s">
        <v>91</v>
      </c>
      <c r="O34" s="13">
        <f>J10</f>
        <v>38</v>
      </c>
    </row>
    <row r="35" spans="8:15" ht="15.75" thickBot="1">
      <c r="H35" t="s">
        <v>66</v>
      </c>
      <c r="I35" s="10" t="s">
        <v>28</v>
      </c>
      <c r="J35" s="11">
        <f>SUM(J36:J37)</f>
        <v>73568</v>
      </c>
      <c r="N35" s="19" t="s">
        <v>92</v>
      </c>
      <c r="O35" s="15">
        <f>J10</f>
        <v>38</v>
      </c>
    </row>
    <row r="36" spans="8:15">
      <c r="H36" t="s">
        <v>65</v>
      </c>
      <c r="I36" s="12" t="s">
        <v>29</v>
      </c>
      <c r="J36" s="13">
        <f>J19</f>
        <v>608</v>
      </c>
    </row>
    <row r="37" spans="8:15" ht="15.75" thickBot="1">
      <c r="H37" t="s">
        <v>61</v>
      </c>
      <c r="I37" s="14" t="s">
        <v>30</v>
      </c>
      <c r="J37" s="15">
        <f>J31*3</f>
        <v>72960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jmadden</dc:creator>
  <cp:lastModifiedBy>jmadden</cp:lastModifiedBy>
  <dcterms:created xsi:type="dcterms:W3CDTF">2009-07-31T23:47:35Z</dcterms:created>
  <dcterms:modified xsi:type="dcterms:W3CDTF">2009-08-01T21:55:59Z</dcterms:modified>
</cp:coreProperties>
</file>