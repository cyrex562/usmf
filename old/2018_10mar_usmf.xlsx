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"/>
    </mc:Choice>
  </mc:AlternateContent>
  <xr:revisionPtr revIDLastSave="0" documentId="13_ncr:1_{1D81BFB6-EFA6-4B8D-9E80-565D48DF3812}" xr6:coauthVersionLast="28" xr6:coauthVersionMax="28" xr10:uidLastSave="{00000000-0000-0000-0000-000000000000}"/>
  <bookViews>
    <workbookView xWindow="0" yWindow="0" windowWidth="15891" windowHeight="13149" xr2:uid="{C2AC809F-2DBB-4E4F-8E33-0300D9EF7898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" l="1"/>
  <c r="L11" i="1"/>
  <c r="H11" i="1"/>
  <c r="H12" i="1"/>
  <c r="H10" i="1"/>
  <c r="P2" i="1"/>
  <c r="L2" i="1"/>
  <c r="H2" i="1"/>
  <c r="D2" i="1"/>
  <c r="D11" i="1" s="1"/>
  <c r="D12" i="1" l="1"/>
  <c r="D10" i="1" s="1"/>
  <c r="P15" i="1" l="1"/>
  <c r="P16" i="1"/>
  <c r="P17" i="1"/>
  <c r="L16" i="1"/>
  <c r="L17" i="1"/>
  <c r="L18" i="1"/>
  <c r="L19" i="1"/>
  <c r="L15" i="1"/>
  <c r="H18" i="1"/>
  <c r="H17" i="1"/>
  <c r="H16" i="1"/>
  <c r="H15" i="1"/>
  <c r="D16" i="1"/>
  <c r="D15" i="1"/>
  <c r="P14" i="1" l="1"/>
  <c r="T23" i="1" s="1"/>
  <c r="L14" i="1"/>
  <c r="T27" i="1" s="1"/>
  <c r="H14" i="1"/>
  <c r="T22" i="1" s="1"/>
  <c r="D14" i="1"/>
  <c r="L26" i="1" l="1"/>
  <c r="H24" i="1"/>
  <c r="T26" i="1"/>
  <c r="T25" i="1"/>
  <c r="T24" i="1"/>
  <c r="H22" i="1"/>
  <c r="P22" i="1"/>
  <c r="P27" i="1"/>
  <c r="P26" i="1"/>
  <c r="P25" i="1"/>
  <c r="P28" i="1"/>
  <c r="P24" i="1"/>
  <c r="P23" i="1"/>
  <c r="L22" i="1"/>
  <c r="L27" i="1"/>
  <c r="L25" i="1"/>
  <c r="L24" i="1"/>
  <c r="L23" i="1"/>
  <c r="L28" i="1"/>
  <c r="H23" i="1"/>
  <c r="D23" i="1"/>
  <c r="D22" i="1"/>
  <c r="T21" i="1" l="1"/>
  <c r="T32" i="1" s="1"/>
  <c r="P21" i="1"/>
  <c r="T34" i="1" s="1"/>
  <c r="L21" i="1"/>
  <c r="D21" i="1"/>
  <c r="D31" i="1" s="1"/>
  <c r="H21" i="1"/>
  <c r="T33" i="1" s="1"/>
  <c r="P31" i="1" l="1"/>
  <c r="T31" i="1"/>
  <c r="T30" i="1" s="1"/>
  <c r="T41" i="1" s="1"/>
  <c r="P33" i="1"/>
  <c r="P32" i="1"/>
  <c r="P37" i="1"/>
  <c r="P36" i="1"/>
  <c r="P35" i="1"/>
  <c r="P34" i="1"/>
  <c r="H33" i="1"/>
  <c r="L37" i="1"/>
  <c r="L35" i="1"/>
  <c r="L34" i="1"/>
  <c r="L32" i="1"/>
  <c r="L36" i="1"/>
  <c r="L33" i="1"/>
  <c r="H31" i="1"/>
  <c r="L31" i="1"/>
  <c r="D32" i="1"/>
  <c r="D30" i="1" s="1"/>
  <c r="H32" i="1"/>
  <c r="P30" i="1" l="1"/>
  <c r="T43" i="1" s="1"/>
  <c r="L30" i="1"/>
  <c r="D40" i="1"/>
  <c r="D41" i="1"/>
  <c r="H30" i="1"/>
  <c r="T42" i="1" s="1"/>
  <c r="H42" i="1" l="1"/>
  <c r="L46" i="1"/>
  <c r="P40" i="1"/>
  <c r="T40" i="1"/>
  <c r="T39" i="1" s="1"/>
  <c r="L50" i="1" s="1"/>
  <c r="P46" i="1"/>
  <c r="P41" i="1"/>
  <c r="P45" i="1"/>
  <c r="P44" i="1"/>
  <c r="P43" i="1"/>
  <c r="P42" i="1"/>
  <c r="H40" i="1"/>
  <c r="L40" i="1"/>
  <c r="L43" i="1"/>
  <c r="L42" i="1"/>
  <c r="L41" i="1"/>
  <c r="L45" i="1"/>
  <c r="L44" i="1"/>
  <c r="D39" i="1"/>
  <c r="D53" i="1" s="1"/>
  <c r="H41" i="1"/>
  <c r="P39" i="1" l="1"/>
  <c r="L39" i="1"/>
  <c r="D49" i="1"/>
  <c r="D50" i="1"/>
  <c r="D57" i="1"/>
  <c r="H39" i="1"/>
  <c r="L51" i="1" l="1"/>
  <c r="L53" i="1"/>
  <c r="H49" i="1"/>
  <c r="L49" i="1"/>
  <c r="H51" i="1"/>
  <c r="L52" i="1"/>
  <c r="D48" i="1"/>
  <c r="D54" i="1" s="1"/>
  <c r="D52" i="1" s="1"/>
  <c r="D58" i="1" s="1"/>
  <c r="D56" i="1" s="1"/>
  <c r="H50" i="1"/>
  <c r="L48" i="1" l="1"/>
  <c r="H48" i="1"/>
</calcChain>
</file>

<file path=xl/sharedStrings.xml><?xml version="1.0" encoding="utf-8"?>
<sst xmlns="http://schemas.openxmlformats.org/spreadsheetml/2006/main" count="216" uniqueCount="180">
  <si>
    <t>team leader</t>
  </si>
  <si>
    <t>trooper</t>
  </si>
  <si>
    <t>SQD HQ TM</t>
  </si>
  <si>
    <t>TM</t>
  </si>
  <si>
    <t>Platoon</t>
  </si>
  <si>
    <t>Squad (SQD)</t>
  </si>
  <si>
    <t>Team (TM)</t>
  </si>
  <si>
    <t>Platoon (PLT)</t>
  </si>
  <si>
    <t>PLT HQ SQD</t>
  </si>
  <si>
    <t>SQD</t>
  </si>
  <si>
    <t>Company (CO)</t>
  </si>
  <si>
    <t>CO HQ PLT</t>
  </si>
  <si>
    <t>PLT</t>
  </si>
  <si>
    <t>Battalion (BN)</t>
  </si>
  <si>
    <t>BN HQ CO</t>
  </si>
  <si>
    <t>CO</t>
  </si>
  <si>
    <t>Brigade (BDE)</t>
  </si>
  <si>
    <t>BDE HQ BN</t>
  </si>
  <si>
    <t>BN</t>
  </si>
  <si>
    <t>Division (DIV)</t>
  </si>
  <si>
    <t>DIV HQ BDE</t>
  </si>
  <si>
    <t>BDE</t>
  </si>
  <si>
    <t>Corps</t>
  </si>
  <si>
    <t>Corps HQ  BDE</t>
  </si>
  <si>
    <t>DIV</t>
  </si>
  <si>
    <t>Army</t>
  </si>
  <si>
    <t>Army HQ BDE</t>
  </si>
  <si>
    <t>Command (CMD)</t>
  </si>
  <si>
    <t>Technology (TECH)</t>
  </si>
  <si>
    <t>Security (SEC)</t>
  </si>
  <si>
    <t>Civil Affairs (CA)</t>
  </si>
  <si>
    <t>Infantry (INF)</t>
  </si>
  <si>
    <t>Cavalry (CAV)</t>
  </si>
  <si>
    <t>Special Operations (SOF)</t>
  </si>
  <si>
    <t>Support (SPT)</t>
  </si>
  <si>
    <t>Combat (CBT)</t>
  </si>
  <si>
    <t>Headquarters (HQ)</t>
  </si>
  <si>
    <t>Supply (SPLY)</t>
  </si>
  <si>
    <t>Maintenance (MAINT)</t>
  </si>
  <si>
    <t>Engineers (ENG)</t>
  </si>
  <si>
    <t>Medical (MED)</t>
  </si>
  <si>
    <t>Transportation (TRANS)</t>
  </si>
  <si>
    <t>Services (SVC)</t>
  </si>
  <si>
    <t>Special Forces (SF)</t>
  </si>
  <si>
    <t>Commandos</t>
  </si>
  <si>
    <t>Rangers (RGR)</t>
  </si>
  <si>
    <t>Artillery (ARTY)</t>
  </si>
  <si>
    <t>CO Mod 2</t>
  </si>
  <si>
    <t xml:space="preserve">CO HQ PLT </t>
  </si>
  <si>
    <t>SPT PLT</t>
  </si>
  <si>
    <t>BN Mod 2</t>
  </si>
  <si>
    <t>SPT CO</t>
  </si>
  <si>
    <t>BN SPT CO</t>
  </si>
  <si>
    <t>CO SPT PLT</t>
  </si>
  <si>
    <t>BDE Mod 2</t>
  </si>
  <si>
    <t>Fires</t>
  </si>
  <si>
    <t>Aerospace Defense</t>
  </si>
  <si>
    <t>Cyber, Information and Electronic Warfare</t>
  </si>
  <si>
    <t>BDE SPT BN</t>
  </si>
  <si>
    <t>CO HQ PLT HQ SQD</t>
  </si>
  <si>
    <t>Staff / Ops / CP</t>
  </si>
  <si>
    <t>CO OPS SQD</t>
  </si>
  <si>
    <t>CO TECH SQD</t>
  </si>
  <si>
    <t>CO CMD SQD</t>
  </si>
  <si>
    <t>DIV Mod 2</t>
  </si>
  <si>
    <t>DIV SPT BDE</t>
  </si>
  <si>
    <t>HQ CO HQ PLT</t>
  </si>
  <si>
    <t>BN CMD PLT</t>
  </si>
  <si>
    <t>BN TECH PLT</t>
  </si>
  <si>
    <t>BN SECTY PLT</t>
  </si>
  <si>
    <t>BN HQ CO SPT PLT</t>
  </si>
  <si>
    <t>BN OPS PLT</t>
  </si>
  <si>
    <t>BN CA PLT</t>
  </si>
  <si>
    <t>Aviation</t>
  </si>
  <si>
    <t>Special Ops Aviation (SOA)</t>
  </si>
  <si>
    <t>BDE HQ BN HQ CO</t>
  </si>
  <si>
    <t>BDE CMD CO</t>
  </si>
  <si>
    <t>BDE OPS CO</t>
  </si>
  <si>
    <t>BDE TECH CO</t>
  </si>
  <si>
    <t>BDE SECTY CO</t>
  </si>
  <si>
    <t>BDE CA CO</t>
  </si>
  <si>
    <t>BDE HQ BN SPT CO</t>
  </si>
  <si>
    <t>DIV HQ BDE HQ BN</t>
  </si>
  <si>
    <t>DIV CMD BN</t>
  </si>
  <si>
    <t>DIV OPS BN</t>
  </si>
  <si>
    <t>DIV TECH BN</t>
  </si>
  <si>
    <t>DIV SECTY BN</t>
  </si>
  <si>
    <t>DIV CA BN</t>
  </si>
  <si>
    <t>DIV HQ BDE SPT BN</t>
  </si>
  <si>
    <t>CO SPT PLT HQ SQD</t>
  </si>
  <si>
    <t>SPLY SQD</t>
  </si>
  <si>
    <t>MAINT SQD</t>
  </si>
  <si>
    <t>MED SQD</t>
  </si>
  <si>
    <t>ENG SQD</t>
  </si>
  <si>
    <t>BN SPT CO HQ PLT</t>
  </si>
  <si>
    <t>SPLY PLT</t>
  </si>
  <si>
    <t>MAINT PLT</t>
  </si>
  <si>
    <t>MED PLT</t>
  </si>
  <si>
    <t>ENG PLT</t>
  </si>
  <si>
    <t>TRANS PLT</t>
  </si>
  <si>
    <t>SVC PLT</t>
  </si>
  <si>
    <t>BDE SPT BN HQ CO</t>
  </si>
  <si>
    <t>SPLY CO</t>
  </si>
  <si>
    <t>MAINT CO</t>
  </si>
  <si>
    <t>MED CO</t>
  </si>
  <si>
    <t>ENG CO</t>
  </si>
  <si>
    <t>TRANS CO</t>
  </si>
  <si>
    <t>SVC CO</t>
  </si>
  <si>
    <t>DIV SPT BDE HQ BN</t>
  </si>
  <si>
    <t>SPLY BN</t>
  </si>
  <si>
    <t>MAINT BN</t>
  </si>
  <si>
    <t>MED BN</t>
  </si>
  <si>
    <t>ENG BN</t>
  </si>
  <si>
    <t>TRANS BN</t>
  </si>
  <si>
    <t>SVC BN</t>
  </si>
  <si>
    <t>Combined Arms (CR)</t>
  </si>
  <si>
    <t>CR BN HQ CO</t>
  </si>
  <si>
    <t>HV CR CO</t>
  </si>
  <si>
    <t>INF PLT</t>
  </si>
  <si>
    <t>CAV Tank PLT</t>
  </si>
  <si>
    <t>CAV APC PLT</t>
  </si>
  <si>
    <t>ARTY PLT</t>
  </si>
  <si>
    <t>HV CR BN</t>
  </si>
  <si>
    <t>CR CO HQ PLT</t>
  </si>
  <si>
    <t>ARTY CO</t>
  </si>
  <si>
    <t>HV CR BDE</t>
  </si>
  <si>
    <t>CR BDE HQ BN</t>
  </si>
  <si>
    <t>ARTY BN</t>
  </si>
  <si>
    <t>SPT BN</t>
  </si>
  <si>
    <t>HV CR DIV</t>
  </si>
  <si>
    <t>DIV ARTY BDE</t>
  </si>
  <si>
    <t>DIV AVN BDE</t>
  </si>
  <si>
    <t>Team</t>
  </si>
  <si>
    <t>Squad</t>
  </si>
  <si>
    <t>Company</t>
  </si>
  <si>
    <t>Battalion</t>
  </si>
  <si>
    <t>Brigade</t>
  </si>
  <si>
    <t>Division</t>
  </si>
  <si>
    <t>Detachment</t>
  </si>
  <si>
    <t>Section</t>
  </si>
  <si>
    <t>Troop</t>
  </si>
  <si>
    <t>Battery</t>
  </si>
  <si>
    <t>Regiment</t>
  </si>
  <si>
    <t>Group</t>
  </si>
  <si>
    <t>Command</t>
  </si>
  <si>
    <t>o</t>
  </si>
  <si>
    <t>oo</t>
  </si>
  <si>
    <t>ooo</t>
  </si>
  <si>
    <t>x</t>
  </si>
  <si>
    <t>xx</t>
  </si>
  <si>
    <t>xxx</t>
  </si>
  <si>
    <t>xxxx</t>
  </si>
  <si>
    <t>ooo(+)/I(-)</t>
  </si>
  <si>
    <t>oo(+)/ooo(-)</t>
  </si>
  <si>
    <t>Squadron</t>
  </si>
  <si>
    <t>II</t>
  </si>
  <si>
    <t>III</t>
  </si>
  <si>
    <t>I</t>
  </si>
  <si>
    <t>INF PLT HQ SQD</t>
  </si>
  <si>
    <t>INF SQD</t>
  </si>
  <si>
    <t>WPN SQD</t>
  </si>
  <si>
    <t>Vehicle Crew (VC)</t>
  </si>
  <si>
    <t>Vehicle Commander</t>
  </si>
  <si>
    <t>Driver</t>
  </si>
  <si>
    <t>Gunner</t>
  </si>
  <si>
    <t>HQ Vehicle Crew (HQVC)</t>
  </si>
  <si>
    <t>Tech</t>
  </si>
  <si>
    <t>SPT Vehicle Crew (SPTVC)</t>
  </si>
  <si>
    <t>NCOIC</t>
  </si>
  <si>
    <t>Commander</t>
  </si>
  <si>
    <t>Medic</t>
  </si>
  <si>
    <t>Engineer</t>
  </si>
  <si>
    <t>CAV Tank HQ SEC</t>
  </si>
  <si>
    <t>CAV Tank SEC</t>
  </si>
  <si>
    <t>CAV Tank SPT SEC</t>
  </si>
  <si>
    <t>HV CAV Tank PLT</t>
  </si>
  <si>
    <t>HV CAV Tank HQ SEC</t>
  </si>
  <si>
    <t>HV CAV Tank SEC</t>
  </si>
  <si>
    <t>VC + HV CAV Tank</t>
  </si>
  <si>
    <t>HQVC + HV CAV HQ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</si>
</sst>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A0-3AD9-4DA3-9EFF-DED5CC044138}">
  <dimension ref="B2:AD58"/>
  <sheetViews>
    <sheetView tabSelected="1" workbookViewId="0">
      <selection activeCell="N11" sqref="N11"/>
    </sheetView>
  </sheetViews>
  <sheetFormatPr defaultRowHeight="14.6" x14ac:dyDescent="0.4"/>
  <cols>
    <col min="1" max="1" width="2.84375" customWidth="1"/>
    <col min="2" max="2" width="4.84375" bestFit="1" customWidth="1"/>
    <col min="3" max="3" width="12.69140625" bestFit="1" customWidth="1"/>
    <col min="4" max="4" width="5.84375" bestFit="1" customWidth="1"/>
    <col min="5" max="5" width="2.84375" customWidth="1"/>
    <col min="6" max="6" width="4.84375" bestFit="1" customWidth="1"/>
    <col min="7" max="7" width="21.53515625" bestFit="1" customWidth="1"/>
    <col min="8" max="8" width="5.84375" bestFit="1" customWidth="1"/>
    <col min="9" max="9" width="2.765625" customWidth="1"/>
    <col min="10" max="10" width="4.84375" customWidth="1"/>
    <col min="11" max="11" width="21.3828125" bestFit="1" customWidth="1"/>
    <col min="12" max="12" width="5.84375" bestFit="1" customWidth="1"/>
    <col min="13" max="13" width="2.765625" customWidth="1"/>
    <col min="14" max="14" width="4.84375" customWidth="1"/>
    <col min="15" max="15" width="22" bestFit="1" customWidth="1"/>
    <col min="16" max="16" width="4.84375" customWidth="1"/>
    <col min="17" max="17" width="2.765625" customWidth="1"/>
    <col min="18" max="18" width="4.84375" customWidth="1"/>
    <col min="19" max="19" width="17" bestFit="1" customWidth="1"/>
    <col min="20" max="20" width="4.84375" customWidth="1"/>
    <col min="21" max="21" width="2.765625" customWidth="1"/>
    <col min="22" max="22" width="4.84375" customWidth="1"/>
    <col min="23" max="23" width="17" bestFit="1" customWidth="1"/>
    <col min="24" max="24" width="4.84375" customWidth="1"/>
    <col min="25" max="25" width="2.765625" customWidth="1"/>
    <col min="27" max="27" width="36.07421875" bestFit="1" customWidth="1"/>
    <col min="28" max="28" width="2.15234375" customWidth="1"/>
    <col min="29" max="29" width="11" bestFit="1" customWidth="1"/>
    <col min="30" max="30" width="12.15234375" bestFit="1" customWidth="1"/>
    <col min="31" max="31" width="20.3828125" bestFit="1" customWidth="1"/>
    <col min="32" max="32" width="21.15234375" bestFit="1" customWidth="1"/>
  </cols>
  <sheetData>
    <row r="2" spans="2:30" x14ac:dyDescent="0.4">
      <c r="B2">
        <v>1000</v>
      </c>
      <c r="C2" t="s">
        <v>6</v>
      </c>
      <c r="D2">
        <f>SUM(D3:D4)</f>
        <v>3</v>
      </c>
      <c r="F2">
        <v>1001</v>
      </c>
      <c r="G2" t="s">
        <v>161</v>
      </c>
      <c r="H2">
        <f>SUM(H3:H5)</f>
        <v>3</v>
      </c>
      <c r="J2">
        <v>1002</v>
      </c>
      <c r="K2" t="s">
        <v>165</v>
      </c>
      <c r="L2">
        <f>SUM(L3:L7)</f>
        <v>5</v>
      </c>
      <c r="N2">
        <v>1003</v>
      </c>
      <c r="O2" t="s">
        <v>167</v>
      </c>
      <c r="P2">
        <f>SUM(P3:P8)</f>
        <v>6</v>
      </c>
    </row>
    <row r="3" spans="2:30" x14ac:dyDescent="0.4">
      <c r="B3">
        <v>1</v>
      </c>
      <c r="C3" t="s">
        <v>0</v>
      </c>
      <c r="D3">
        <v>1</v>
      </c>
      <c r="F3">
        <v>1</v>
      </c>
      <c r="G3" t="s">
        <v>162</v>
      </c>
      <c r="H3">
        <v>1</v>
      </c>
      <c r="J3">
        <v>1</v>
      </c>
      <c r="K3" t="s">
        <v>169</v>
      </c>
      <c r="L3">
        <v>1</v>
      </c>
      <c r="N3">
        <v>1</v>
      </c>
      <c r="O3" t="s">
        <v>162</v>
      </c>
      <c r="P3">
        <v>1</v>
      </c>
      <c r="Z3">
        <v>1000</v>
      </c>
      <c r="AA3" t="s">
        <v>36</v>
      </c>
    </row>
    <row r="4" spans="2:30" x14ac:dyDescent="0.4">
      <c r="B4">
        <v>2</v>
      </c>
      <c r="C4" t="s">
        <v>1</v>
      </c>
      <c r="D4">
        <v>2</v>
      </c>
      <c r="F4">
        <v>1</v>
      </c>
      <c r="G4" t="s">
        <v>163</v>
      </c>
      <c r="H4">
        <v>1</v>
      </c>
      <c r="J4">
        <v>1</v>
      </c>
      <c r="K4" t="s">
        <v>162</v>
      </c>
      <c r="L4">
        <v>1</v>
      </c>
      <c r="N4">
        <v>1</v>
      </c>
      <c r="O4" t="s">
        <v>168</v>
      </c>
      <c r="P4">
        <v>1</v>
      </c>
      <c r="Z4">
        <v>1100</v>
      </c>
      <c r="AA4" t="s">
        <v>27</v>
      </c>
    </row>
    <row r="5" spans="2:30" x14ac:dyDescent="0.4">
      <c r="F5">
        <v>1</v>
      </c>
      <c r="G5" t="s">
        <v>164</v>
      </c>
      <c r="H5">
        <v>1</v>
      </c>
      <c r="J5">
        <v>1</v>
      </c>
      <c r="K5" t="s">
        <v>163</v>
      </c>
      <c r="L5">
        <v>1</v>
      </c>
      <c r="N5">
        <v>1</v>
      </c>
      <c r="O5" t="s">
        <v>163</v>
      </c>
      <c r="P5">
        <v>1</v>
      </c>
      <c r="Z5">
        <v>1200</v>
      </c>
      <c r="AA5" t="s">
        <v>60</v>
      </c>
    </row>
    <row r="6" spans="2:30" x14ac:dyDescent="0.4">
      <c r="J6">
        <v>1</v>
      </c>
      <c r="K6" t="s">
        <v>164</v>
      </c>
      <c r="L6">
        <v>1</v>
      </c>
      <c r="N6">
        <v>1</v>
      </c>
      <c r="O6" t="s">
        <v>164</v>
      </c>
      <c r="P6">
        <v>1</v>
      </c>
      <c r="Z6">
        <v>1300</v>
      </c>
      <c r="AA6" t="s">
        <v>28</v>
      </c>
    </row>
    <row r="7" spans="2:30" x14ac:dyDescent="0.4">
      <c r="J7">
        <v>1</v>
      </c>
      <c r="K7" t="s">
        <v>166</v>
      </c>
      <c r="L7">
        <v>1</v>
      </c>
      <c r="N7">
        <v>1</v>
      </c>
      <c r="O7" t="s">
        <v>170</v>
      </c>
      <c r="P7">
        <v>1</v>
      </c>
      <c r="Z7">
        <v>1400</v>
      </c>
      <c r="AA7" t="s">
        <v>29</v>
      </c>
    </row>
    <row r="8" spans="2:30" x14ac:dyDescent="0.4">
      <c r="N8">
        <v>1</v>
      </c>
      <c r="O8" t="s">
        <v>171</v>
      </c>
      <c r="P8">
        <v>1</v>
      </c>
      <c r="Z8">
        <v>1500</v>
      </c>
      <c r="AA8" t="s">
        <v>30</v>
      </c>
    </row>
    <row r="10" spans="2:30" x14ac:dyDescent="0.4">
      <c r="B10">
        <v>2000</v>
      </c>
      <c r="C10" t="s">
        <v>5</v>
      </c>
      <c r="D10">
        <f>SUM(D11:D12)</f>
        <v>9</v>
      </c>
      <c r="F10">
        <v>2001</v>
      </c>
      <c r="G10" t="s">
        <v>176</v>
      </c>
      <c r="H10">
        <f>SUM(H11:H12)</f>
        <v>11</v>
      </c>
      <c r="J10">
        <v>2002</v>
      </c>
      <c r="K10" t="s">
        <v>177</v>
      </c>
      <c r="L10">
        <f>SUM(L11)</f>
        <v>9</v>
      </c>
      <c r="N10">
        <v>2003</v>
      </c>
      <c r="Z10">
        <v>2000</v>
      </c>
      <c r="AA10" t="s">
        <v>35</v>
      </c>
    </row>
    <row r="11" spans="2:30" x14ac:dyDescent="0.4">
      <c r="B11">
        <v>1</v>
      </c>
      <c r="C11" t="s">
        <v>2</v>
      </c>
      <c r="D11">
        <f>D2*B11</f>
        <v>3</v>
      </c>
      <c r="F11">
        <v>1</v>
      </c>
      <c r="G11" t="s">
        <v>179</v>
      </c>
      <c r="H11">
        <f>L2*F11</f>
        <v>5</v>
      </c>
      <c r="J11">
        <v>3</v>
      </c>
      <c r="K11" t="s">
        <v>178</v>
      </c>
      <c r="L11">
        <f>H2*J11</f>
        <v>9</v>
      </c>
      <c r="Z11">
        <v>2100</v>
      </c>
      <c r="AA11" t="s">
        <v>31</v>
      </c>
    </row>
    <row r="12" spans="2:30" x14ac:dyDescent="0.4">
      <c r="B12">
        <v>2</v>
      </c>
      <c r="C12" t="s">
        <v>3</v>
      </c>
      <c r="D12">
        <f>D2*B12</f>
        <v>6</v>
      </c>
      <c r="F12">
        <v>2</v>
      </c>
      <c r="G12" t="s">
        <v>178</v>
      </c>
      <c r="H12">
        <f>H2*F12</f>
        <v>6</v>
      </c>
      <c r="Z12">
        <v>2200</v>
      </c>
      <c r="AA12" t="s">
        <v>32</v>
      </c>
    </row>
    <row r="13" spans="2:30" x14ac:dyDescent="0.4">
      <c r="Z13">
        <v>2300</v>
      </c>
      <c r="AA13" t="s">
        <v>46</v>
      </c>
      <c r="AC13" t="s">
        <v>132</v>
      </c>
      <c r="AD13" t="s">
        <v>145</v>
      </c>
    </row>
    <row r="14" spans="2:30" x14ac:dyDescent="0.4">
      <c r="B14">
        <v>3000</v>
      </c>
      <c r="C14" t="s">
        <v>7</v>
      </c>
      <c r="D14">
        <f>SUM(D15:D16)</f>
        <v>27</v>
      </c>
      <c r="F14">
        <v>3001</v>
      </c>
      <c r="G14" t="s">
        <v>11</v>
      </c>
      <c r="H14">
        <f>SUM(H15:H18)</f>
        <v>36</v>
      </c>
      <c r="J14">
        <v>3002</v>
      </c>
      <c r="K14" t="s">
        <v>53</v>
      </c>
      <c r="L14">
        <f>SUM(L15:L19)</f>
        <v>45</v>
      </c>
      <c r="N14">
        <v>3003</v>
      </c>
      <c r="O14" t="s">
        <v>118</v>
      </c>
      <c r="P14">
        <f>SUM(P15:P17)</f>
        <v>36</v>
      </c>
      <c r="R14">
        <v>3004</v>
      </c>
      <c r="S14" t="s">
        <v>175</v>
      </c>
      <c r="Z14">
        <v>2310</v>
      </c>
      <c r="AA14" t="s">
        <v>55</v>
      </c>
      <c r="AC14" t="s">
        <v>133</v>
      </c>
      <c r="AD14" t="s">
        <v>146</v>
      </c>
    </row>
    <row r="15" spans="2:30" x14ac:dyDescent="0.4">
      <c r="B15">
        <v>1</v>
      </c>
      <c r="C15" t="s">
        <v>8</v>
      </c>
      <c r="D15">
        <f>D10*B15</f>
        <v>9</v>
      </c>
      <c r="F15">
        <v>1</v>
      </c>
      <c r="G15" t="s">
        <v>59</v>
      </c>
      <c r="H15">
        <f>D10*F15</f>
        <v>9</v>
      </c>
      <c r="J15">
        <v>1</v>
      </c>
      <c r="K15" t="s">
        <v>89</v>
      </c>
      <c r="L15">
        <f>$D$10*J15</f>
        <v>9</v>
      </c>
      <c r="N15">
        <v>1</v>
      </c>
      <c r="O15" t="s">
        <v>158</v>
      </c>
      <c r="P15">
        <f>D10*N15</f>
        <v>9</v>
      </c>
      <c r="R15">
        <v>1</v>
      </c>
      <c r="S15" t="s">
        <v>172</v>
      </c>
      <c r="Z15">
        <v>2320</v>
      </c>
      <c r="AA15" t="s">
        <v>56</v>
      </c>
      <c r="AC15" t="s">
        <v>139</v>
      </c>
      <c r="AD15" t="s">
        <v>153</v>
      </c>
    </row>
    <row r="16" spans="2:30" x14ac:dyDescent="0.4">
      <c r="B16">
        <v>2</v>
      </c>
      <c r="C16" t="s">
        <v>9</v>
      </c>
      <c r="D16">
        <f>D10*B16</f>
        <v>18</v>
      </c>
      <c r="F16">
        <v>1</v>
      </c>
      <c r="G16" t="s">
        <v>61</v>
      </c>
      <c r="H16">
        <f>D10*F16</f>
        <v>9</v>
      </c>
      <c r="J16">
        <v>1</v>
      </c>
      <c r="K16" t="s">
        <v>90</v>
      </c>
      <c r="L16">
        <f t="shared" ref="L16:L19" si="0">$D$10*J16</f>
        <v>9</v>
      </c>
      <c r="N16">
        <v>2</v>
      </c>
      <c r="O16" t="s">
        <v>159</v>
      </c>
      <c r="P16">
        <f>D10*N16</f>
        <v>18</v>
      </c>
      <c r="R16">
        <v>2</v>
      </c>
      <c r="S16" t="s">
        <v>173</v>
      </c>
      <c r="Z16">
        <v>2330</v>
      </c>
      <c r="AA16" t="s">
        <v>57</v>
      </c>
      <c r="AC16" t="s">
        <v>4</v>
      </c>
      <c r="AD16" t="s">
        <v>147</v>
      </c>
    </row>
    <row r="17" spans="2:30" x14ac:dyDescent="0.4">
      <c r="F17">
        <v>1</v>
      </c>
      <c r="G17" t="s">
        <v>62</v>
      </c>
      <c r="H17">
        <f>D10</f>
        <v>9</v>
      </c>
      <c r="J17">
        <v>1</v>
      </c>
      <c r="K17" t="s">
        <v>91</v>
      </c>
      <c r="L17">
        <f t="shared" si="0"/>
        <v>9</v>
      </c>
      <c r="N17">
        <v>1</v>
      </c>
      <c r="O17" t="s">
        <v>160</v>
      </c>
      <c r="P17">
        <f>D10*N17</f>
        <v>9</v>
      </c>
      <c r="R17">
        <v>1</v>
      </c>
      <c r="S17" t="s">
        <v>174</v>
      </c>
      <c r="Z17">
        <v>2400</v>
      </c>
      <c r="AA17" t="s">
        <v>115</v>
      </c>
      <c r="AC17" t="s">
        <v>138</v>
      </c>
      <c r="AD17" t="s">
        <v>152</v>
      </c>
    </row>
    <row r="18" spans="2:30" x14ac:dyDescent="0.4">
      <c r="F18">
        <v>1</v>
      </c>
      <c r="G18" t="s">
        <v>63</v>
      </c>
      <c r="H18">
        <f>D10*F18</f>
        <v>9</v>
      </c>
      <c r="J18">
        <v>1</v>
      </c>
      <c r="K18" t="s">
        <v>92</v>
      </c>
      <c r="L18">
        <f t="shared" si="0"/>
        <v>9</v>
      </c>
      <c r="AC18" t="s">
        <v>134</v>
      </c>
      <c r="AD18" t="s">
        <v>157</v>
      </c>
    </row>
    <row r="19" spans="2:30" x14ac:dyDescent="0.4">
      <c r="J19">
        <v>1</v>
      </c>
      <c r="K19" t="s">
        <v>93</v>
      </c>
      <c r="L19">
        <f t="shared" si="0"/>
        <v>9</v>
      </c>
      <c r="Z19">
        <v>3000</v>
      </c>
      <c r="AA19" t="s">
        <v>34</v>
      </c>
      <c r="AC19" t="s">
        <v>140</v>
      </c>
      <c r="AD19" t="s">
        <v>157</v>
      </c>
    </row>
    <row r="20" spans="2:30" x14ac:dyDescent="0.4">
      <c r="Z20">
        <v>3100</v>
      </c>
      <c r="AA20" t="s">
        <v>37</v>
      </c>
      <c r="AC20" t="s">
        <v>141</v>
      </c>
      <c r="AD20" t="s">
        <v>157</v>
      </c>
    </row>
    <row r="21" spans="2:30" x14ac:dyDescent="0.4">
      <c r="B21">
        <v>4000</v>
      </c>
      <c r="C21" t="s">
        <v>10</v>
      </c>
      <c r="D21">
        <f>SUM(D22:D23)</f>
        <v>81</v>
      </c>
      <c r="F21">
        <v>4001</v>
      </c>
      <c r="G21" t="s">
        <v>47</v>
      </c>
      <c r="H21">
        <f>SUM(H22:H24)</f>
        <v>135</v>
      </c>
      <c r="J21">
        <v>4002</v>
      </c>
      <c r="K21" t="s">
        <v>14</v>
      </c>
      <c r="L21">
        <f>SUM(L22:L28)</f>
        <v>216</v>
      </c>
      <c r="N21">
        <v>4003</v>
      </c>
      <c r="O21" t="s">
        <v>52</v>
      </c>
      <c r="P21">
        <f>SUM(P22:P28)</f>
        <v>198</v>
      </c>
      <c r="R21">
        <v>4004</v>
      </c>
      <c r="S21" t="s">
        <v>117</v>
      </c>
      <c r="T21">
        <f>SUM(T22:T27)</f>
        <v>288</v>
      </c>
      <c r="Z21">
        <v>3200</v>
      </c>
      <c r="AA21" t="s">
        <v>38</v>
      </c>
      <c r="AC21" t="s">
        <v>135</v>
      </c>
      <c r="AD21" t="s">
        <v>155</v>
      </c>
    </row>
    <row r="22" spans="2:30" x14ac:dyDescent="0.4">
      <c r="B22">
        <v>1</v>
      </c>
      <c r="C22" t="s">
        <v>11</v>
      </c>
      <c r="D22">
        <f>D14*B22</f>
        <v>27</v>
      </c>
      <c r="F22">
        <v>1</v>
      </c>
      <c r="G22" t="s">
        <v>48</v>
      </c>
      <c r="H22">
        <f>H14*F22</f>
        <v>36</v>
      </c>
      <c r="J22">
        <v>1</v>
      </c>
      <c r="K22" t="s">
        <v>66</v>
      </c>
      <c r="L22">
        <f>H14*J22</f>
        <v>36</v>
      </c>
      <c r="N22">
        <v>1</v>
      </c>
      <c r="O22" t="s">
        <v>94</v>
      </c>
      <c r="P22">
        <f>H14*N22</f>
        <v>36</v>
      </c>
      <c r="R22">
        <v>1</v>
      </c>
      <c r="S22" t="s">
        <v>123</v>
      </c>
      <c r="T22">
        <f>H14*R22</f>
        <v>36</v>
      </c>
      <c r="Z22">
        <v>3300</v>
      </c>
      <c r="AA22" t="s">
        <v>39</v>
      </c>
      <c r="AC22" t="s">
        <v>154</v>
      </c>
      <c r="AD22" t="s">
        <v>155</v>
      </c>
    </row>
    <row r="23" spans="2:30" x14ac:dyDescent="0.4">
      <c r="B23">
        <v>2</v>
      </c>
      <c r="C23" t="s">
        <v>12</v>
      </c>
      <c r="D23">
        <f>D14*B23</f>
        <v>54</v>
      </c>
      <c r="F23">
        <v>2</v>
      </c>
      <c r="G23" t="s">
        <v>12</v>
      </c>
      <c r="H23">
        <f>D14*F23</f>
        <v>54</v>
      </c>
      <c r="J23">
        <v>1</v>
      </c>
      <c r="K23" t="s">
        <v>67</v>
      </c>
      <c r="L23">
        <f>D14*J23</f>
        <v>27</v>
      </c>
      <c r="N23">
        <v>1</v>
      </c>
      <c r="O23" t="s">
        <v>95</v>
      </c>
      <c r="P23">
        <f>D14*N23</f>
        <v>27</v>
      </c>
      <c r="R23">
        <v>2</v>
      </c>
      <c r="S23" t="s">
        <v>118</v>
      </c>
      <c r="T23">
        <f>P14*R23</f>
        <v>72</v>
      </c>
      <c r="Z23">
        <v>3400</v>
      </c>
      <c r="AA23" t="s">
        <v>40</v>
      </c>
      <c r="AC23" t="s">
        <v>142</v>
      </c>
      <c r="AD23" t="s">
        <v>156</v>
      </c>
    </row>
    <row r="24" spans="2:30" x14ac:dyDescent="0.4">
      <c r="F24">
        <v>1</v>
      </c>
      <c r="G24" t="s">
        <v>53</v>
      </c>
      <c r="H24">
        <f>L14*F24</f>
        <v>45</v>
      </c>
      <c r="J24">
        <v>1</v>
      </c>
      <c r="K24" t="s">
        <v>68</v>
      </c>
      <c r="L24">
        <f>D14*J23</f>
        <v>27</v>
      </c>
      <c r="N24">
        <v>1</v>
      </c>
      <c r="O24" t="s">
        <v>96</v>
      </c>
      <c r="P24">
        <f>D14*N24</f>
        <v>27</v>
      </c>
      <c r="R24">
        <v>2</v>
      </c>
      <c r="S24" t="s">
        <v>119</v>
      </c>
      <c r="T24">
        <f>D14*R24</f>
        <v>54</v>
      </c>
      <c r="Z24">
        <v>3500</v>
      </c>
      <c r="AA24" t="s">
        <v>41</v>
      </c>
      <c r="AC24" t="s">
        <v>136</v>
      </c>
      <c r="AD24" t="s">
        <v>148</v>
      </c>
    </row>
    <row r="25" spans="2:30" x14ac:dyDescent="0.4">
      <c r="J25">
        <v>1</v>
      </c>
      <c r="K25" t="s">
        <v>69</v>
      </c>
      <c r="L25">
        <f>D14*J25</f>
        <v>27</v>
      </c>
      <c r="N25">
        <v>1</v>
      </c>
      <c r="O25" t="s">
        <v>97</v>
      </c>
      <c r="P25">
        <f>D14*N25</f>
        <v>27</v>
      </c>
      <c r="R25">
        <v>2</v>
      </c>
      <c r="S25" t="s">
        <v>120</v>
      </c>
      <c r="T25">
        <f>D14*R25</f>
        <v>54</v>
      </c>
      <c r="Z25">
        <v>3600</v>
      </c>
      <c r="AA25" t="s">
        <v>42</v>
      </c>
      <c r="AC25" t="s">
        <v>143</v>
      </c>
      <c r="AD25" t="s">
        <v>148</v>
      </c>
    </row>
    <row r="26" spans="2:30" x14ac:dyDescent="0.4">
      <c r="J26">
        <v>1</v>
      </c>
      <c r="K26" t="s">
        <v>70</v>
      </c>
      <c r="L26">
        <f>L14*J26</f>
        <v>45</v>
      </c>
      <c r="N26">
        <v>1</v>
      </c>
      <c r="O26" t="s">
        <v>98</v>
      </c>
      <c r="P26">
        <f>D14*N26</f>
        <v>27</v>
      </c>
      <c r="R26">
        <v>1</v>
      </c>
      <c r="S26" t="s">
        <v>121</v>
      </c>
      <c r="T26">
        <f>D14*R26</f>
        <v>27</v>
      </c>
      <c r="AC26" t="s">
        <v>137</v>
      </c>
      <c r="AD26" t="s">
        <v>149</v>
      </c>
    </row>
    <row r="27" spans="2:30" x14ac:dyDescent="0.4">
      <c r="J27">
        <v>1</v>
      </c>
      <c r="K27" t="s">
        <v>72</v>
      </c>
      <c r="L27">
        <f>D14*J27</f>
        <v>27</v>
      </c>
      <c r="N27">
        <v>1</v>
      </c>
      <c r="O27" t="s">
        <v>99</v>
      </c>
      <c r="P27">
        <f>D14*N27</f>
        <v>27</v>
      </c>
      <c r="R27">
        <v>1</v>
      </c>
      <c r="S27" t="s">
        <v>49</v>
      </c>
      <c r="T27">
        <f>L14*R27</f>
        <v>45</v>
      </c>
      <c r="Z27">
        <v>4000</v>
      </c>
      <c r="AA27" t="s">
        <v>33</v>
      </c>
      <c r="AC27" t="s">
        <v>144</v>
      </c>
      <c r="AD27" t="s">
        <v>149</v>
      </c>
    </row>
    <row r="28" spans="2:30" x14ac:dyDescent="0.4">
      <c r="J28">
        <v>1</v>
      </c>
      <c r="K28" t="s">
        <v>71</v>
      </c>
      <c r="L28">
        <f>D14*J28</f>
        <v>27</v>
      </c>
      <c r="N28">
        <v>1</v>
      </c>
      <c r="O28" t="s">
        <v>100</v>
      </c>
      <c r="P28">
        <f>D14*N28</f>
        <v>27</v>
      </c>
      <c r="Z28">
        <v>4100</v>
      </c>
      <c r="AA28" t="s">
        <v>43</v>
      </c>
      <c r="AC28" t="s">
        <v>22</v>
      </c>
      <c r="AD28" t="s">
        <v>150</v>
      </c>
    </row>
    <row r="29" spans="2:30" x14ac:dyDescent="0.4">
      <c r="Z29">
        <v>4200</v>
      </c>
      <c r="AA29" t="s">
        <v>44</v>
      </c>
      <c r="AC29" t="s">
        <v>25</v>
      </c>
      <c r="AD29" t="s">
        <v>151</v>
      </c>
    </row>
    <row r="30" spans="2:30" x14ac:dyDescent="0.4">
      <c r="B30">
        <v>5000</v>
      </c>
      <c r="C30" t="s">
        <v>13</v>
      </c>
      <c r="D30">
        <f>SUM(D31:D32)</f>
        <v>243</v>
      </c>
      <c r="F30">
        <v>5001</v>
      </c>
      <c r="G30" t="s">
        <v>50</v>
      </c>
      <c r="H30">
        <f>SUM(H31:H33)</f>
        <v>684</v>
      </c>
      <c r="J30">
        <v>5002</v>
      </c>
      <c r="K30" t="s">
        <v>17</v>
      </c>
      <c r="L30">
        <f>SUM(L31:L37)</f>
        <v>1089</v>
      </c>
      <c r="N30">
        <v>5003</v>
      </c>
      <c r="O30" t="s">
        <v>58</v>
      </c>
      <c r="P30">
        <f>SUM(P31:P37)</f>
        <v>1026</v>
      </c>
      <c r="R30">
        <v>5004</v>
      </c>
      <c r="S30" t="s">
        <v>122</v>
      </c>
      <c r="T30">
        <f>SUM(T31:T34)</f>
        <v>1125</v>
      </c>
      <c r="Z30">
        <v>4300</v>
      </c>
      <c r="AA30" t="s">
        <v>45</v>
      </c>
    </row>
    <row r="31" spans="2:30" x14ac:dyDescent="0.4">
      <c r="B31">
        <v>1</v>
      </c>
      <c r="C31" t="s">
        <v>14</v>
      </c>
      <c r="D31">
        <f>D21*B31</f>
        <v>81</v>
      </c>
      <c r="F31">
        <v>1</v>
      </c>
      <c r="G31" t="s">
        <v>14</v>
      </c>
      <c r="H31">
        <f>L21*F31</f>
        <v>216</v>
      </c>
      <c r="J31">
        <v>1</v>
      </c>
      <c r="K31" t="s">
        <v>75</v>
      </c>
      <c r="L31">
        <f>L21*J31</f>
        <v>216</v>
      </c>
      <c r="N31">
        <v>1</v>
      </c>
      <c r="O31" t="s">
        <v>101</v>
      </c>
      <c r="P31">
        <f>L21*N31</f>
        <v>216</v>
      </c>
      <c r="R31">
        <v>1</v>
      </c>
      <c r="S31" t="s">
        <v>116</v>
      </c>
      <c r="T31">
        <f>L21*R31</f>
        <v>216</v>
      </c>
      <c r="Z31">
        <v>4400</v>
      </c>
      <c r="AA31" t="s">
        <v>74</v>
      </c>
    </row>
    <row r="32" spans="2:30" x14ac:dyDescent="0.4">
      <c r="B32">
        <v>2</v>
      </c>
      <c r="C32" t="s">
        <v>15</v>
      </c>
      <c r="D32">
        <f>D21*B32</f>
        <v>162</v>
      </c>
      <c r="F32">
        <v>2</v>
      </c>
      <c r="G32" t="s">
        <v>15</v>
      </c>
      <c r="H32">
        <f>H21*F32</f>
        <v>270</v>
      </c>
      <c r="J32">
        <v>1</v>
      </c>
      <c r="K32" t="s">
        <v>76</v>
      </c>
      <c r="L32">
        <f>$H$21*J32</f>
        <v>135</v>
      </c>
      <c r="N32">
        <v>1</v>
      </c>
      <c r="O32" t="s">
        <v>102</v>
      </c>
      <c r="P32">
        <f>H21*N32</f>
        <v>135</v>
      </c>
      <c r="R32">
        <v>2</v>
      </c>
      <c r="S32" t="s">
        <v>117</v>
      </c>
      <c r="T32">
        <f>T21*R32</f>
        <v>576</v>
      </c>
    </row>
    <row r="33" spans="2:27" x14ac:dyDescent="0.4">
      <c r="F33">
        <v>1</v>
      </c>
      <c r="G33" t="s">
        <v>52</v>
      </c>
      <c r="H33">
        <f>P21*F33</f>
        <v>198</v>
      </c>
      <c r="J33">
        <v>1</v>
      </c>
      <c r="K33" t="s">
        <v>77</v>
      </c>
      <c r="L33">
        <f t="shared" ref="L33:L36" si="1">$H$21*J33</f>
        <v>135</v>
      </c>
      <c r="N33">
        <v>1</v>
      </c>
      <c r="O33" t="s">
        <v>103</v>
      </c>
      <c r="P33">
        <f>H21*N33</f>
        <v>135</v>
      </c>
      <c r="R33">
        <v>1</v>
      </c>
      <c r="S33" t="s">
        <v>124</v>
      </c>
      <c r="T33">
        <f>H21*R33</f>
        <v>135</v>
      </c>
      <c r="Z33">
        <v>5000</v>
      </c>
      <c r="AA33" t="s">
        <v>73</v>
      </c>
    </row>
    <row r="34" spans="2:27" x14ac:dyDescent="0.4">
      <c r="J34">
        <v>1</v>
      </c>
      <c r="K34" t="s">
        <v>78</v>
      </c>
      <c r="L34">
        <f t="shared" si="1"/>
        <v>135</v>
      </c>
      <c r="N34">
        <v>1</v>
      </c>
      <c r="O34" t="s">
        <v>104</v>
      </c>
      <c r="P34">
        <f>H21*N34</f>
        <v>135</v>
      </c>
      <c r="R34">
        <v>1</v>
      </c>
      <c r="S34" t="s">
        <v>51</v>
      </c>
      <c r="T34">
        <f>P21*R34</f>
        <v>198</v>
      </c>
    </row>
    <row r="35" spans="2:27" x14ac:dyDescent="0.4">
      <c r="J35">
        <v>1</v>
      </c>
      <c r="K35" t="s">
        <v>79</v>
      </c>
      <c r="L35">
        <f t="shared" si="1"/>
        <v>135</v>
      </c>
      <c r="N35">
        <v>1</v>
      </c>
      <c r="O35" t="s">
        <v>105</v>
      </c>
      <c r="P35">
        <f>H21*N35</f>
        <v>135</v>
      </c>
    </row>
    <row r="36" spans="2:27" x14ac:dyDescent="0.4">
      <c r="J36">
        <v>1</v>
      </c>
      <c r="K36" t="s">
        <v>80</v>
      </c>
      <c r="L36">
        <f t="shared" si="1"/>
        <v>135</v>
      </c>
      <c r="N36">
        <v>1</v>
      </c>
      <c r="O36" t="s">
        <v>106</v>
      </c>
      <c r="P36">
        <f>H21*N36</f>
        <v>135</v>
      </c>
    </row>
    <row r="37" spans="2:27" x14ac:dyDescent="0.4">
      <c r="J37">
        <v>1</v>
      </c>
      <c r="K37" t="s">
        <v>81</v>
      </c>
      <c r="L37">
        <f>P21*J37</f>
        <v>198</v>
      </c>
      <c r="N37">
        <v>1</v>
      </c>
      <c r="O37" t="s">
        <v>107</v>
      </c>
      <c r="P37">
        <f>H21*N37</f>
        <v>135</v>
      </c>
    </row>
    <row r="39" spans="2:27" x14ac:dyDescent="0.4">
      <c r="B39">
        <v>6000</v>
      </c>
      <c r="C39" t="s">
        <v>16</v>
      </c>
      <c r="D39">
        <f>SUM(D40:D41)</f>
        <v>729</v>
      </c>
      <c r="F39">
        <v>6001</v>
      </c>
      <c r="G39" t="s">
        <v>54</v>
      </c>
      <c r="H39">
        <f>SUM(H40:H42)</f>
        <v>3483</v>
      </c>
      <c r="J39">
        <v>6002</v>
      </c>
      <c r="K39" t="s">
        <v>20</v>
      </c>
      <c r="L39">
        <f>SUM(L40:L46)</f>
        <v>5535</v>
      </c>
      <c r="N39">
        <v>6003</v>
      </c>
      <c r="O39" t="s">
        <v>65</v>
      </c>
      <c r="P39">
        <f>SUM(P40:P46)</f>
        <v>5193</v>
      </c>
      <c r="R39">
        <v>6004</v>
      </c>
      <c r="S39" t="s">
        <v>125</v>
      </c>
      <c r="T39">
        <f>SUM(T40:T43)</f>
        <v>5049</v>
      </c>
    </row>
    <row r="40" spans="2:27" x14ac:dyDescent="0.4">
      <c r="B40">
        <v>1</v>
      </c>
      <c r="C40" t="s">
        <v>17</v>
      </c>
      <c r="D40">
        <f>D30*B40</f>
        <v>243</v>
      </c>
      <c r="F40">
        <v>1</v>
      </c>
      <c r="G40" t="s">
        <v>17</v>
      </c>
      <c r="H40">
        <f>L30*F40</f>
        <v>1089</v>
      </c>
      <c r="J40">
        <v>1</v>
      </c>
      <c r="K40" t="s">
        <v>82</v>
      </c>
      <c r="L40">
        <f>L30</f>
        <v>1089</v>
      </c>
      <c r="N40">
        <v>1</v>
      </c>
      <c r="O40" t="s">
        <v>108</v>
      </c>
      <c r="P40">
        <f>L30*N40</f>
        <v>1089</v>
      </c>
      <c r="R40">
        <v>1</v>
      </c>
      <c r="S40" t="s">
        <v>126</v>
      </c>
      <c r="T40">
        <f>L30*R40</f>
        <v>1089</v>
      </c>
    </row>
    <row r="41" spans="2:27" x14ac:dyDescent="0.4">
      <c r="B41">
        <v>2</v>
      </c>
      <c r="C41" t="s">
        <v>18</v>
      </c>
      <c r="D41">
        <f>D30*B41</f>
        <v>486</v>
      </c>
      <c r="F41">
        <v>2</v>
      </c>
      <c r="G41" t="s">
        <v>18</v>
      </c>
      <c r="H41">
        <f>H30*F41</f>
        <v>1368</v>
      </c>
      <c r="J41">
        <v>1</v>
      </c>
      <c r="K41" t="s">
        <v>83</v>
      </c>
      <c r="L41">
        <f>$H$30*J41</f>
        <v>684</v>
      </c>
      <c r="N41">
        <v>1</v>
      </c>
      <c r="O41" t="s">
        <v>109</v>
      </c>
      <c r="P41">
        <f>H30*N41</f>
        <v>684</v>
      </c>
      <c r="R41">
        <v>2</v>
      </c>
      <c r="S41" t="s">
        <v>122</v>
      </c>
      <c r="T41">
        <f>T30*R41</f>
        <v>2250</v>
      </c>
    </row>
    <row r="42" spans="2:27" x14ac:dyDescent="0.4">
      <c r="F42">
        <v>1</v>
      </c>
      <c r="G42" t="s">
        <v>58</v>
      </c>
      <c r="H42">
        <f>P30*F42</f>
        <v>1026</v>
      </c>
      <c r="J42">
        <v>1</v>
      </c>
      <c r="K42" t="s">
        <v>84</v>
      </c>
      <c r="L42">
        <f t="shared" ref="L42:L45" si="2">$H$30*J42</f>
        <v>684</v>
      </c>
      <c r="N42">
        <v>1</v>
      </c>
      <c r="O42" t="s">
        <v>110</v>
      </c>
      <c r="P42">
        <f>H30*N42</f>
        <v>684</v>
      </c>
      <c r="R42">
        <v>1</v>
      </c>
      <c r="S42" t="s">
        <v>127</v>
      </c>
      <c r="T42">
        <f>H30*R42</f>
        <v>684</v>
      </c>
    </row>
    <row r="43" spans="2:27" x14ac:dyDescent="0.4">
      <c r="J43">
        <v>1</v>
      </c>
      <c r="K43" t="s">
        <v>85</v>
      </c>
      <c r="L43">
        <f t="shared" si="2"/>
        <v>684</v>
      </c>
      <c r="N43">
        <v>1</v>
      </c>
      <c r="O43" t="s">
        <v>111</v>
      </c>
      <c r="P43">
        <f>H30*N43</f>
        <v>684</v>
      </c>
      <c r="R43">
        <v>1</v>
      </c>
      <c r="S43" t="s">
        <v>128</v>
      </c>
      <c r="T43">
        <f>P30*R43</f>
        <v>1026</v>
      </c>
    </row>
    <row r="44" spans="2:27" x14ac:dyDescent="0.4">
      <c r="J44">
        <v>1</v>
      </c>
      <c r="K44" t="s">
        <v>86</v>
      </c>
      <c r="L44">
        <f t="shared" si="2"/>
        <v>684</v>
      </c>
      <c r="N44">
        <v>1</v>
      </c>
      <c r="O44" t="s">
        <v>112</v>
      </c>
      <c r="P44">
        <f>H30*N44</f>
        <v>684</v>
      </c>
    </row>
    <row r="45" spans="2:27" x14ac:dyDescent="0.4">
      <c r="J45">
        <v>1</v>
      </c>
      <c r="K45" t="s">
        <v>87</v>
      </c>
      <c r="L45">
        <f t="shared" si="2"/>
        <v>684</v>
      </c>
      <c r="N45">
        <v>1</v>
      </c>
      <c r="O45" t="s">
        <v>113</v>
      </c>
      <c r="P45">
        <f>H30*N45</f>
        <v>684</v>
      </c>
    </row>
    <row r="46" spans="2:27" x14ac:dyDescent="0.4">
      <c r="J46">
        <v>1</v>
      </c>
      <c r="K46" t="s">
        <v>88</v>
      </c>
      <c r="L46">
        <f>P30*J46</f>
        <v>1026</v>
      </c>
      <c r="N46">
        <v>1</v>
      </c>
      <c r="O46" t="s">
        <v>114</v>
      </c>
      <c r="P46">
        <f>H30*N46</f>
        <v>684</v>
      </c>
    </row>
    <row r="48" spans="2:27" x14ac:dyDescent="0.4">
      <c r="B48">
        <v>7000</v>
      </c>
      <c r="C48" t="s">
        <v>19</v>
      </c>
      <c r="D48">
        <f>SUM(D49:D50)</f>
        <v>2187</v>
      </c>
      <c r="F48">
        <v>7001</v>
      </c>
      <c r="G48" t="s">
        <v>64</v>
      </c>
      <c r="H48">
        <f>SUM(H49:H51)</f>
        <v>17694</v>
      </c>
      <c r="J48">
        <v>7002</v>
      </c>
      <c r="K48" t="s">
        <v>129</v>
      </c>
      <c r="L48">
        <f>SUM(L49:L53)</f>
        <v>27792</v>
      </c>
    </row>
    <row r="49" spans="2:12" x14ac:dyDescent="0.4">
      <c r="B49">
        <v>1</v>
      </c>
      <c r="C49" t="s">
        <v>20</v>
      </c>
      <c r="D49">
        <f>D39*B49</f>
        <v>729</v>
      </c>
      <c r="F49">
        <v>1</v>
      </c>
      <c r="G49" t="s">
        <v>20</v>
      </c>
      <c r="H49">
        <f>L39*F49</f>
        <v>5535</v>
      </c>
      <c r="J49">
        <v>1</v>
      </c>
      <c r="K49" t="s">
        <v>20</v>
      </c>
      <c r="L49">
        <f>L39*J49</f>
        <v>5535</v>
      </c>
    </row>
    <row r="50" spans="2:12" x14ac:dyDescent="0.4">
      <c r="B50">
        <v>2</v>
      </c>
      <c r="C50" t="s">
        <v>21</v>
      </c>
      <c r="D50">
        <f>D39*B50</f>
        <v>1458</v>
      </c>
      <c r="F50">
        <v>2</v>
      </c>
      <c r="G50" t="s">
        <v>21</v>
      </c>
      <c r="H50">
        <f>H39*F50</f>
        <v>6966</v>
      </c>
      <c r="J50">
        <v>2</v>
      </c>
      <c r="K50" t="s">
        <v>125</v>
      </c>
      <c r="L50">
        <f>T39*J50</f>
        <v>10098</v>
      </c>
    </row>
    <row r="51" spans="2:12" x14ac:dyDescent="0.4">
      <c r="F51">
        <v>1</v>
      </c>
      <c r="G51" t="s">
        <v>65</v>
      </c>
      <c r="H51">
        <f>P39</f>
        <v>5193</v>
      </c>
      <c r="J51">
        <v>1</v>
      </c>
      <c r="K51" t="s">
        <v>130</v>
      </c>
      <c r="L51">
        <f>H39*J51</f>
        <v>3483</v>
      </c>
    </row>
    <row r="52" spans="2:12" x14ac:dyDescent="0.4">
      <c r="B52">
        <v>8000</v>
      </c>
      <c r="C52" t="s">
        <v>22</v>
      </c>
      <c r="D52">
        <f>SUM(D53:D54)</f>
        <v>5103</v>
      </c>
      <c r="J52">
        <v>1</v>
      </c>
      <c r="K52" t="s">
        <v>65</v>
      </c>
      <c r="L52">
        <f>P39*J52</f>
        <v>5193</v>
      </c>
    </row>
    <row r="53" spans="2:12" x14ac:dyDescent="0.4">
      <c r="B53">
        <v>1</v>
      </c>
      <c r="C53" t="s">
        <v>23</v>
      </c>
      <c r="D53">
        <f>D39*B53</f>
        <v>729</v>
      </c>
      <c r="J53">
        <v>1</v>
      </c>
      <c r="K53" t="s">
        <v>131</v>
      </c>
      <c r="L53">
        <f>H39*J53</f>
        <v>3483</v>
      </c>
    </row>
    <row r="54" spans="2:12" x14ac:dyDescent="0.4">
      <c r="B54">
        <v>2</v>
      </c>
      <c r="C54" t="s">
        <v>24</v>
      </c>
      <c r="D54">
        <f>D48*B54</f>
        <v>4374</v>
      </c>
    </row>
    <row r="56" spans="2:12" x14ac:dyDescent="0.4">
      <c r="B56">
        <v>9000</v>
      </c>
      <c r="C56" t="s">
        <v>25</v>
      </c>
      <c r="D56">
        <f>SUM(D57:D58)</f>
        <v>10935</v>
      </c>
    </row>
    <row r="57" spans="2:12" x14ac:dyDescent="0.4">
      <c r="B57">
        <v>1</v>
      </c>
      <c r="C57" t="s">
        <v>26</v>
      </c>
      <c r="D57">
        <f>D39*B57</f>
        <v>729</v>
      </c>
    </row>
    <row r="58" spans="2:12" x14ac:dyDescent="0.4">
      <c r="B58">
        <v>2</v>
      </c>
      <c r="C58" t="s">
        <v>22</v>
      </c>
      <c r="D58">
        <f>D52*B58</f>
        <v>10206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2018-03-10T21:35:09Z</dcterms:created>
  <dcterms:modified xsi:type="dcterms:W3CDTF">2018-03-11T01:32:39Z</dcterms:modified>
</cp:coreProperties>
</file>