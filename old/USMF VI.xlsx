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600" yWindow="-15" windowWidth="9645" windowHeight="8295" activeTab="1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K15" i="2"/>
  <c r="K14"/>
  <c r="K13"/>
  <c r="K12"/>
  <c r="K11"/>
  <c r="H25" i="1"/>
  <c r="H24"/>
  <c r="H20"/>
  <c r="H30" s="1"/>
  <c r="T7" s="1"/>
  <c r="K11"/>
  <c r="K8"/>
  <c r="K5"/>
  <c r="K2"/>
  <c r="W7"/>
  <c r="H14" s="1"/>
  <c r="H11"/>
  <c r="H8"/>
  <c r="H5"/>
  <c r="H2"/>
  <c r="N24"/>
  <c r="N26" s="1"/>
  <c r="N25"/>
  <c r="N27" s="1"/>
  <c r="Q25"/>
  <c r="Q21"/>
  <c r="Q17"/>
  <c r="W11"/>
  <c r="Q10"/>
  <c r="Q6"/>
  <c r="Q2"/>
  <c r="W1"/>
  <c r="N3" s="1"/>
  <c r="E38"/>
  <c r="E34"/>
  <c r="E30"/>
  <c r="E20"/>
  <c r="E24"/>
  <c r="E16"/>
  <c r="E11"/>
  <c r="E8"/>
  <c r="E5"/>
  <c r="E2"/>
  <c r="B2"/>
  <c r="B5"/>
  <c r="B8"/>
  <c r="B11"/>
  <c r="K35" l="1"/>
  <c r="K32" s="1"/>
  <c r="H1"/>
  <c r="H19" s="1"/>
  <c r="K25"/>
  <c r="K22" s="1"/>
  <c r="K29"/>
  <c r="K26" s="1"/>
  <c r="K17" s="1"/>
  <c r="H23" s="1"/>
  <c r="H22" s="1"/>
  <c r="H28" s="1"/>
  <c r="K21"/>
  <c r="K18" s="1"/>
  <c r="K14"/>
  <c r="K1" s="1"/>
  <c r="Q16"/>
  <c r="N17" s="1"/>
  <c r="Q1"/>
  <c r="N7" s="1"/>
  <c r="N6" s="1"/>
  <c r="E15"/>
  <c r="B20" s="1"/>
  <c r="B19" s="1"/>
  <c r="B23" s="1"/>
  <c r="E29"/>
  <c r="E1"/>
  <c r="B16" s="1"/>
  <c r="N2"/>
  <c r="N1" s="1"/>
  <c r="N12" s="1"/>
  <c r="B1"/>
  <c r="B17" s="1"/>
  <c r="B15" l="1"/>
  <c r="B24" s="1"/>
  <c r="B22" s="1"/>
  <c r="B31" s="1"/>
  <c r="N16"/>
  <c r="N21" s="1"/>
  <c r="B27"/>
  <c r="B26" s="1"/>
  <c r="B30" s="1"/>
  <c r="N11"/>
  <c r="N10" s="1"/>
  <c r="H18"/>
  <c r="H17" s="1"/>
  <c r="H29" s="1"/>
  <c r="B29" l="1"/>
  <c r="T2"/>
  <c r="H27"/>
  <c r="T3" s="1"/>
  <c r="N23"/>
  <c r="N20" s="1"/>
  <c r="T4"/>
  <c r="T1" l="1"/>
</calcChain>
</file>

<file path=xl/sharedStrings.xml><?xml version="1.0" encoding="utf-8"?>
<sst xmlns="http://schemas.openxmlformats.org/spreadsheetml/2006/main" count="374" uniqueCount="247">
  <si>
    <t>INF SQD</t>
  </si>
  <si>
    <t>SQD LDR</t>
  </si>
  <si>
    <t>RFL</t>
  </si>
  <si>
    <t>TM B</t>
  </si>
  <si>
    <t>TM A</t>
  </si>
  <si>
    <t>MG</t>
  </si>
  <si>
    <t>TM C</t>
  </si>
  <si>
    <t>SNIPER</t>
  </si>
  <si>
    <t>TM D</t>
  </si>
  <si>
    <t>MSL</t>
  </si>
  <si>
    <t>INF PLT</t>
  </si>
  <si>
    <t>PLT HQ</t>
  </si>
  <si>
    <t>PLT LDR</t>
  </si>
  <si>
    <t>RTO</t>
  </si>
  <si>
    <t>PLT SGT</t>
  </si>
  <si>
    <t>MEDIC</t>
  </si>
  <si>
    <t>3x INF SQD</t>
  </si>
  <si>
    <t>INF CO</t>
  </si>
  <si>
    <t>CO HQ</t>
  </si>
  <si>
    <t>3x INF PLT</t>
  </si>
  <si>
    <t>CO CDR</t>
  </si>
  <si>
    <t>2x RFL</t>
  </si>
  <si>
    <t>CO XO</t>
  </si>
  <si>
    <t>CO 1SG</t>
  </si>
  <si>
    <t>CDR TM</t>
  </si>
  <si>
    <t>XO TM</t>
  </si>
  <si>
    <t>1SG TM</t>
  </si>
  <si>
    <t>INF BN</t>
  </si>
  <si>
    <t>BN HQ</t>
  </si>
  <si>
    <t>CSM TM</t>
  </si>
  <si>
    <t>3x INF CO</t>
  </si>
  <si>
    <t>CAV TRP</t>
  </si>
  <si>
    <t>TRP HQ</t>
  </si>
  <si>
    <t>3x CAV PLT</t>
  </si>
  <si>
    <t>CAV PLT</t>
  </si>
  <si>
    <t>VEH CDR</t>
  </si>
  <si>
    <t>GNR</t>
  </si>
  <si>
    <t>DRV</t>
  </si>
  <si>
    <t>GNR #2</t>
  </si>
  <si>
    <t>BN CMD GRP</t>
  </si>
  <si>
    <t>TRP CMD GRP</t>
  </si>
  <si>
    <t>CAV SQDN</t>
  </si>
  <si>
    <t>SQDN HQ</t>
  </si>
  <si>
    <t>TRP CDR</t>
  </si>
  <si>
    <t>OFFICER</t>
  </si>
  <si>
    <t>SQDN CMD GRP</t>
  </si>
  <si>
    <t>SQDN CDR</t>
  </si>
  <si>
    <t>SQDN CSM</t>
  </si>
  <si>
    <t>SQDN XO</t>
  </si>
  <si>
    <t>3x CAV TRP</t>
  </si>
  <si>
    <t>COMB ARMS BN</t>
  </si>
  <si>
    <t>Command Tank</t>
  </si>
  <si>
    <t>CT-1</t>
  </si>
  <si>
    <t>T-1</t>
  </si>
  <si>
    <t>CT-1 CREW</t>
  </si>
  <si>
    <t>T-1 CREW</t>
  </si>
  <si>
    <t>HQ T-1 Crew</t>
  </si>
  <si>
    <t>3x T-1 Crews</t>
  </si>
  <si>
    <t>LTV-1</t>
  </si>
  <si>
    <t>Light Tac. Veh.</t>
  </si>
  <si>
    <t>MTV-1</t>
  </si>
  <si>
    <t>Med. Tac. Veh.</t>
  </si>
  <si>
    <t>LTV-1 CREW</t>
  </si>
  <si>
    <t>MOT. INF SQD</t>
  </si>
  <si>
    <t>2x LTV-1 CREW</t>
  </si>
  <si>
    <t>MOT INF PLT</t>
  </si>
  <si>
    <t>MOT INF PLT HQ</t>
  </si>
  <si>
    <t>3x MOT INF SQD</t>
  </si>
  <si>
    <t>MOT INF CO</t>
  </si>
  <si>
    <t>INF CO CMD GRP</t>
  </si>
  <si>
    <t>MOT INF CO HQ</t>
  </si>
  <si>
    <t>MOT INF CO CMD GRP</t>
  </si>
  <si>
    <t>INF CO HQ</t>
  </si>
  <si>
    <t>3x MOT INF CO</t>
  </si>
  <si>
    <t>INF PLT HQ</t>
  </si>
  <si>
    <t>INF BN CMD GRP</t>
  </si>
  <si>
    <t>LCT-1</t>
  </si>
  <si>
    <t>Lt. Cmd. Tnk.</t>
  </si>
  <si>
    <t>LT-1</t>
  </si>
  <si>
    <t>Lt. Tnk.</t>
  </si>
  <si>
    <t>Tnk.</t>
  </si>
  <si>
    <t>MOT INF CO STAFF</t>
  </si>
  <si>
    <t>OPS TM</t>
  </si>
  <si>
    <t>ADMIN TM</t>
  </si>
  <si>
    <t>HQ</t>
  </si>
  <si>
    <t>Maneuver</t>
  </si>
  <si>
    <t>Effects</t>
  </si>
  <si>
    <t>Support</t>
  </si>
  <si>
    <t>Command Group</t>
  </si>
  <si>
    <t>Staff</t>
  </si>
  <si>
    <t>Command Post</t>
  </si>
  <si>
    <t>ISR</t>
  </si>
  <si>
    <t>Commo</t>
  </si>
  <si>
    <t>Infantry</t>
  </si>
  <si>
    <t>Cavalry</t>
  </si>
  <si>
    <t>Artillery</t>
  </si>
  <si>
    <t>Info War</t>
  </si>
  <si>
    <t>Electronic War</t>
  </si>
  <si>
    <t>PSYOPS</t>
  </si>
  <si>
    <t>Engineers</t>
  </si>
  <si>
    <t>MP</t>
  </si>
  <si>
    <t>AMD</t>
  </si>
  <si>
    <t>CBRNE</t>
  </si>
  <si>
    <t>Supply</t>
  </si>
  <si>
    <t>Maint</t>
  </si>
  <si>
    <t>Med</t>
  </si>
  <si>
    <t>Transportation</t>
  </si>
  <si>
    <t>Field Services</t>
  </si>
  <si>
    <t>Admin</t>
  </si>
  <si>
    <t>Intel</t>
  </si>
  <si>
    <t>Ops</t>
  </si>
  <si>
    <t>Log</t>
  </si>
  <si>
    <t>Battle Staff</t>
  </si>
  <si>
    <t xml:space="preserve">Watch </t>
  </si>
  <si>
    <t>Recon</t>
  </si>
  <si>
    <t>HUMINT</t>
  </si>
  <si>
    <t>SIGINT</t>
  </si>
  <si>
    <t>MASINT</t>
  </si>
  <si>
    <t>ISR-UAV</t>
  </si>
  <si>
    <t>TECHINT</t>
  </si>
  <si>
    <t>Systems</t>
  </si>
  <si>
    <t>Networks</t>
  </si>
  <si>
    <t>Combat Eng</t>
  </si>
  <si>
    <t>Horiz Constr.</t>
  </si>
  <si>
    <t>Vert. Constr.</t>
  </si>
  <si>
    <t>Bridging</t>
  </si>
  <si>
    <t>Eng. Materials</t>
  </si>
  <si>
    <t>Survey/Recon/GIS</t>
  </si>
  <si>
    <t>EOD</t>
  </si>
  <si>
    <t>Decon</t>
  </si>
  <si>
    <t>CBRN Recon</t>
  </si>
  <si>
    <t>Escort</t>
  </si>
  <si>
    <t>Security</t>
  </si>
  <si>
    <t>Det Ops</t>
  </si>
  <si>
    <t>L&amp;O</t>
  </si>
  <si>
    <t>MANPADS</t>
  </si>
  <si>
    <t>Point Def</t>
  </si>
  <si>
    <t>SHORAMD</t>
  </si>
  <si>
    <t>MEAMD</t>
  </si>
  <si>
    <t>LR/ER AMD</t>
  </si>
  <si>
    <t>Theater AMD</t>
  </si>
  <si>
    <t>Strategic AMD</t>
  </si>
  <si>
    <t>Fuel Supply</t>
  </si>
  <si>
    <t>Gen. Supply</t>
  </si>
  <si>
    <t>Ord. Supply</t>
  </si>
  <si>
    <t>Mortars</t>
  </si>
  <si>
    <t>Howitzers</t>
  </si>
  <si>
    <t>Rockets</t>
  </si>
  <si>
    <t>Missiles</t>
  </si>
  <si>
    <t>Recovery</t>
  </si>
  <si>
    <t>Repair</t>
  </si>
  <si>
    <t>Parts Supply</t>
  </si>
  <si>
    <t>Medics</t>
  </si>
  <si>
    <t>MEDEVAC</t>
  </si>
  <si>
    <t>Treatment</t>
  </si>
  <si>
    <t>Surgical</t>
  </si>
  <si>
    <t>Prev. Med.</t>
  </si>
  <si>
    <t>Gen. Medicine</t>
  </si>
  <si>
    <t>Spec. Medicine</t>
  </si>
  <si>
    <t>Med. Supply</t>
  </si>
  <si>
    <t>CA</t>
  </si>
  <si>
    <t>Life Support</t>
  </si>
  <si>
    <t>Base Ops</t>
  </si>
  <si>
    <t>Hygiene</t>
  </si>
  <si>
    <t>MWR</t>
  </si>
  <si>
    <t>Housing</t>
  </si>
  <si>
    <t>Food Services</t>
  </si>
  <si>
    <t>PX</t>
  </si>
  <si>
    <t>Infrastructure</t>
  </si>
  <si>
    <t>Power</t>
  </si>
  <si>
    <t>Water</t>
  </si>
  <si>
    <t>Waste</t>
  </si>
  <si>
    <t>Rifle</t>
  </si>
  <si>
    <t>Sniper</t>
  </si>
  <si>
    <t>Machinegunner</t>
  </si>
  <si>
    <t>Weapons Crew</t>
  </si>
  <si>
    <t>Unit Sizes</t>
  </si>
  <si>
    <t>Team</t>
  </si>
  <si>
    <t>Squad</t>
  </si>
  <si>
    <t>Section</t>
  </si>
  <si>
    <t>Platoon</t>
  </si>
  <si>
    <t>Company/Battery/Troop</t>
  </si>
  <si>
    <t>Battalion/Squadron</t>
  </si>
  <si>
    <t>Brigade/Regiment/Group</t>
  </si>
  <si>
    <t>Division</t>
  </si>
  <si>
    <t>Corps</t>
  </si>
  <si>
    <t>Army</t>
  </si>
  <si>
    <t>Army Group</t>
  </si>
  <si>
    <t>Theater</t>
  </si>
  <si>
    <t>Ranks</t>
  </si>
  <si>
    <t>Private (PVT)</t>
  </si>
  <si>
    <t>Private First Class (PFC)</t>
  </si>
  <si>
    <t>Lance Corporal (LCPL)</t>
  </si>
  <si>
    <t>Corporal (CPL)</t>
  </si>
  <si>
    <t>Sergeant (SGT)</t>
  </si>
  <si>
    <t>Staff Sergeant (SSG)</t>
  </si>
  <si>
    <t>Sergeant First Class (SFC)</t>
  </si>
  <si>
    <t>Master Sergeant (MSG) / 1st Sergeant (1SG)</t>
  </si>
  <si>
    <t>Sergeant Major (SGM) / Command Sergeant Major (CSM)</t>
  </si>
  <si>
    <t>Chief Warrant Officer 2 (CW2)</t>
  </si>
  <si>
    <t>Chief Warrant Officer 3 (CW3)</t>
  </si>
  <si>
    <t>Chief Warrant Officer 4 (CW4)</t>
  </si>
  <si>
    <t>Master Chief Warrant Officer 5 (MW5)</t>
  </si>
  <si>
    <t>Warrant Officer 1 (WO1)</t>
  </si>
  <si>
    <t>2nd Lieutenant (2LT)</t>
  </si>
  <si>
    <t>1st Lieutenant (1LT)</t>
  </si>
  <si>
    <t>Captain (CPT)</t>
  </si>
  <si>
    <t>Major (MAJ)</t>
  </si>
  <si>
    <t>Lieutenant Colonel (LTC)</t>
  </si>
  <si>
    <t>Colonel (COL)</t>
  </si>
  <si>
    <t>Brigadier General (BG)</t>
  </si>
  <si>
    <t>Major General (MG)</t>
  </si>
  <si>
    <t>Lieutenant General (LTG)</t>
  </si>
  <si>
    <t>General (GEN)</t>
  </si>
  <si>
    <t>Field Marshall (FMSH)</t>
  </si>
  <si>
    <t>Vice Marshall (VMSH)</t>
  </si>
  <si>
    <t>Marshall (MSH)</t>
  </si>
  <si>
    <t>Grand Marshall (GMSH)</t>
  </si>
  <si>
    <t>*</t>
  </si>
  <si>
    <t>**</t>
  </si>
  <si>
    <t>***</t>
  </si>
  <si>
    <t>****</t>
  </si>
  <si>
    <t>*****</t>
  </si>
  <si>
    <t>******</t>
  </si>
  <si>
    <t>*******</t>
  </si>
  <si>
    <t>********</t>
  </si>
  <si>
    <t>I</t>
  </si>
  <si>
    <t>II</t>
  </si>
  <si>
    <t>III</t>
  </si>
  <si>
    <t>IIII</t>
  </si>
  <si>
    <t>IIIII</t>
  </si>
  <si>
    <t>IIIIII</t>
  </si>
  <si>
    <t>&gt;</t>
  </si>
  <si>
    <t>(&gt;</t>
  </si>
  <si>
    <t>&gt;&gt;</t>
  </si>
  <si>
    <t>&gt;&gt;&gt;</t>
  </si>
  <si>
    <t>(&gt;&gt;&gt;</t>
  </si>
  <si>
    <t>((&gt;&gt;&gt;</t>
  </si>
  <si>
    <t>(((&gt;&gt;&gt;</t>
  </si>
  <si>
    <t>(((o&gt;&gt;&gt;</t>
  </si>
  <si>
    <t>basic unit structure</t>
  </si>
  <si>
    <t>Collection</t>
  </si>
  <si>
    <t>Command &amp; Control (C2)</t>
  </si>
  <si>
    <t>Information</t>
  </si>
  <si>
    <t>* Lifts the fog of war</t>
  </si>
  <si>
    <t>* Enhances radius of effect for C2 units</t>
  </si>
  <si>
    <t>* Provides control for units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</si>
</sst>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1" fillId="0" borderId="0" xfId="0" applyFont="1" applyFill="1"/>
    <xf numFmtId="0" fontId="0" fillId="5" borderId="0" xfId="0" applyFill="1"/>
    <xf numFmtId="0" fontId="0" fillId="0" borderId="0" xfId="0" applyFill="1"/>
    <xf numFmtId="0" fontId="1" fillId="2" borderId="2" xfId="0" applyFont="1" applyFill="1" applyBorder="1"/>
    <xf numFmtId="0" fontId="1" fillId="2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4" xfId="0" applyBorder="1"/>
    <xf numFmtId="0" fontId="0" fillId="0" borderId="5" xfId="0" applyBorder="1"/>
    <xf numFmtId="0" fontId="0" fillId="0" borderId="4" xfId="0" applyFont="1" applyBorder="1"/>
    <xf numFmtId="0" fontId="0" fillId="0" borderId="6" xfId="0" applyFont="1" applyBorder="1"/>
    <xf numFmtId="0" fontId="0" fillId="0" borderId="7" xfId="0" applyBorder="1"/>
    <xf numFmtId="0" fontId="0" fillId="0" borderId="6" xfId="0" applyBorder="1"/>
    <xf numFmtId="0" fontId="0" fillId="6" borderId="7" xfId="0" applyFill="1" applyBorder="1"/>
    <xf numFmtId="0" fontId="1" fillId="6" borderId="6" xfId="0" applyFont="1" applyFill="1" applyBorder="1"/>
    <xf numFmtId="0" fontId="1" fillId="6" borderId="7" xfId="0" applyFont="1" applyFill="1" applyBorder="1"/>
    <xf numFmtId="0" fontId="0" fillId="0" borderId="4" xfId="0" applyFill="1" applyBorder="1"/>
    <xf numFmtId="0" fontId="0" fillId="3" borderId="5" xfId="0" applyFill="1" applyBorder="1"/>
    <xf numFmtId="0" fontId="1" fillId="6" borderId="4" xfId="0" applyFont="1" applyFill="1" applyBorder="1"/>
    <xf numFmtId="0" fontId="1" fillId="6" borderId="5" xfId="0" applyFont="1" applyFill="1" applyBorder="1"/>
    <xf numFmtId="0" fontId="0" fillId="0" borderId="4" xfId="0" applyFont="1" applyFill="1" applyBorder="1" applyAlignment="1">
      <alignment horizontal="left" indent="1"/>
    </xf>
    <xf numFmtId="0" fontId="0" fillId="6" borderId="5" xfId="0" applyFont="1" applyFill="1" applyBorder="1"/>
    <xf numFmtId="0" fontId="0" fillId="4" borderId="6" xfId="0" applyFill="1" applyBorder="1"/>
    <xf numFmtId="0" fontId="0" fillId="4" borderId="7" xfId="0" applyFill="1" applyBorder="1"/>
    <xf numFmtId="0" fontId="0" fillId="0" borderId="1" xfId="0" applyBorder="1"/>
    <xf numFmtId="0" fontId="1" fillId="0" borderId="0" xfId="0" applyFont="1" applyFill="1" applyBorder="1"/>
    <xf numFmtId="0" fontId="0" fillId="0" borderId="0" xfId="0" applyBorder="1"/>
    <xf numFmtId="0" fontId="0" fillId="0" borderId="0" xfId="0" applyFont="1" applyBorder="1"/>
    <xf numFmtId="0" fontId="0" fillId="9" borderId="0" xfId="0" applyFill="1" applyAlignment="1">
      <alignment horizontal="left" indent="1"/>
    </xf>
    <xf numFmtId="0" fontId="0" fillId="12" borderId="0" xfId="0" applyFill="1" applyAlignment="1">
      <alignment horizontal="left" indent="1"/>
    </xf>
    <xf numFmtId="0" fontId="0" fillId="0" borderId="8" xfId="0" applyBorder="1"/>
    <xf numFmtId="0" fontId="0" fillId="4" borderId="8" xfId="0" applyFill="1" applyBorder="1" applyAlignment="1">
      <alignment horizontal="left" indent="1"/>
    </xf>
    <xf numFmtId="0" fontId="1" fillId="13" borderId="0" xfId="0" applyFont="1" applyFill="1"/>
    <xf numFmtId="0" fontId="0" fillId="13" borderId="0" xfId="0" applyFill="1"/>
    <xf numFmtId="0" fontId="1" fillId="13" borderId="9" xfId="0" applyFont="1" applyFill="1" applyBorder="1"/>
    <xf numFmtId="0" fontId="1" fillId="13" borderId="10" xfId="0" applyFont="1" applyFill="1" applyBorder="1"/>
    <xf numFmtId="0" fontId="1" fillId="13" borderId="6" xfId="0" applyFont="1" applyFill="1" applyBorder="1"/>
    <xf numFmtId="0" fontId="0" fillId="13" borderId="7" xfId="0" applyFill="1" applyBorder="1"/>
    <xf numFmtId="0" fontId="1" fillId="12" borderId="0" xfId="0" applyFont="1" applyFill="1"/>
    <xf numFmtId="0" fontId="1" fillId="11" borderId="0" xfId="0" applyFont="1" applyFill="1"/>
    <xf numFmtId="0" fontId="1" fillId="9" borderId="0" xfId="0" applyFont="1" applyFill="1"/>
    <xf numFmtId="0" fontId="1" fillId="4" borderId="8" xfId="0" applyFont="1" applyFill="1" applyBorder="1"/>
    <xf numFmtId="0" fontId="1" fillId="7" borderId="8" xfId="0" applyFont="1" applyFill="1" applyBorder="1"/>
    <xf numFmtId="0" fontId="1" fillId="11" borderId="8" xfId="0" applyFont="1" applyFill="1" applyBorder="1"/>
    <xf numFmtId="0" fontId="1" fillId="2" borderId="8" xfId="0" applyFont="1" applyFill="1" applyBorder="1"/>
    <xf numFmtId="0" fontId="1" fillId="9" borderId="8" xfId="0" applyFont="1" applyFill="1" applyBorder="1"/>
    <xf numFmtId="0" fontId="1" fillId="9" borderId="4" xfId="0" applyFont="1" applyFill="1" applyBorder="1"/>
    <xf numFmtId="0" fontId="1" fillId="2" borderId="4" xfId="0" applyFont="1" applyFill="1" applyBorder="1"/>
    <xf numFmtId="0" fontId="0" fillId="2" borderId="4" xfId="0" applyFont="1" applyFill="1" applyBorder="1" applyAlignment="1">
      <alignment horizontal="left" indent="1"/>
    </xf>
    <xf numFmtId="0" fontId="1" fillId="10" borderId="4" xfId="0" applyFont="1" applyFill="1" applyBorder="1" applyAlignment="1">
      <alignment horizontal="left"/>
    </xf>
    <xf numFmtId="0" fontId="1" fillId="8" borderId="0" xfId="0" applyFont="1" applyFill="1"/>
    <xf numFmtId="0" fontId="1" fillId="13" borderId="0" xfId="0" applyFont="1" applyFill="1" applyBorder="1"/>
    <xf numFmtId="0" fontId="0" fillId="2" borderId="1" xfId="0" applyFill="1" applyBorder="1"/>
    <xf numFmtId="0" fontId="2" fillId="0" borderId="1" xfId="1" applyBorder="1" applyAlignment="1" applyProtection="1"/>
    <xf numFmtId="0" fontId="0" fillId="12" borderId="0" xfId="0" applyFill="1" applyAlignment="1">
      <alignment horizontal="left" indent="2"/>
    </xf>
    <xf numFmtId="0" fontId="3" fillId="11" borderId="0" xfId="0" applyFont="1" applyFill="1" applyAlignment="1">
      <alignment horizontal="left" indent="1"/>
    </xf>
    <xf numFmtId="0" fontId="3" fillId="2" borderId="4" xfId="0" applyFont="1" applyFill="1" applyBorder="1" applyAlignment="1">
      <alignment horizontal="left" indent="1"/>
    </xf>
    <xf numFmtId="0" fontId="3" fillId="9" borderId="4" xfId="0" applyFont="1" applyFill="1" applyBorder="1" applyAlignment="1">
      <alignment horizontal="left" indent="1"/>
    </xf>
    <xf numFmtId="0" fontId="0" fillId="9" borderId="4" xfId="0" applyFont="1" applyFill="1" applyBorder="1" applyAlignment="1">
      <alignment horizontal="left" indent="1"/>
    </xf>
    <xf numFmtId="0" fontId="3" fillId="8" borderId="0" xfId="0" applyFont="1" applyFill="1" applyAlignment="1">
      <alignment horizontal="left" indent="1"/>
    </xf>
    <xf numFmtId="0" fontId="3" fillId="9" borderId="0" xfId="0" applyFont="1" applyFill="1" applyAlignment="1">
      <alignment horizontal="left" indent="1"/>
    </xf>
    <xf numFmtId="0" fontId="3" fillId="9" borderId="0" xfId="0" applyFont="1" applyFill="1" applyAlignment="1">
      <alignment horizontal="left" indent="2"/>
    </xf>
    <xf numFmtId="0" fontId="3" fillId="9" borderId="8" xfId="0" applyFont="1" applyFill="1" applyBorder="1" applyAlignment="1">
      <alignment horizontal="left" indent="1"/>
    </xf>
    <xf numFmtId="0" fontId="0" fillId="2" borderId="4" xfId="0" applyFont="1" applyFill="1" applyBorder="1" applyAlignment="1">
      <alignment horizontal="left" indent="2"/>
    </xf>
    <xf numFmtId="0" fontId="4" fillId="13" borderId="0" xfId="0" applyFont="1" applyFill="1" applyBorder="1"/>
    <xf numFmtId="0" fontId="4" fillId="13" borderId="0" xfId="0" applyFont="1" applyFill="1" applyAlignment="1">
      <alignment horizontal="left"/>
    </xf>
    <xf numFmtId="0" fontId="1" fillId="13" borderId="9" xfId="0" applyFont="1" applyFill="1" applyBorder="1" applyAlignment="1">
      <alignment wrapText="1"/>
    </xf>
    <xf numFmtId="0" fontId="0" fillId="13" borderId="0" xfId="0" applyFill="1" applyBorder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3</xdr:row>
      <xdr:rowOff>66675</xdr:rowOff>
    </xdr:from>
    <xdr:to>
      <xdr:col>3</xdr:col>
      <xdr:colOff>390525</xdr:colOff>
      <xdr:row>5</xdr:row>
      <xdr:rowOff>161925</xdr:rowOff>
    </xdr:to>
    <xdr:sp macro="" textlink="">
      <xdr:nvSpPr>
        <xdr:cNvPr id="2" name="Flowchart: Process 1"/>
        <xdr:cNvSpPr/>
      </xdr:nvSpPr>
      <xdr:spPr>
        <a:xfrm>
          <a:off x="1371600" y="638175"/>
          <a:ext cx="847725" cy="47625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HQ</a:t>
          </a:r>
        </a:p>
      </xdr:txBody>
    </xdr:sp>
    <xdr:clientData/>
  </xdr:twoCellAnchor>
  <xdr:twoCellAnchor>
    <xdr:from>
      <xdr:col>0</xdr:col>
      <xdr:colOff>285750</xdr:colOff>
      <xdr:row>7</xdr:row>
      <xdr:rowOff>28575</xdr:rowOff>
    </xdr:from>
    <xdr:to>
      <xdr:col>1</xdr:col>
      <xdr:colOff>523875</xdr:colOff>
      <xdr:row>9</xdr:row>
      <xdr:rowOff>123825</xdr:rowOff>
    </xdr:to>
    <xdr:sp macro="" textlink="">
      <xdr:nvSpPr>
        <xdr:cNvPr id="3" name="Flowchart: Process 2"/>
        <xdr:cNvSpPr/>
      </xdr:nvSpPr>
      <xdr:spPr>
        <a:xfrm>
          <a:off x="285750" y="1362075"/>
          <a:ext cx="847725" cy="47625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MNVR</a:t>
          </a:r>
        </a:p>
      </xdr:txBody>
    </xdr:sp>
    <xdr:clientData/>
  </xdr:twoCellAnchor>
  <xdr:twoCellAnchor>
    <xdr:from>
      <xdr:col>2</xdr:col>
      <xdr:colOff>142875</xdr:colOff>
      <xdr:row>7</xdr:row>
      <xdr:rowOff>28575</xdr:rowOff>
    </xdr:from>
    <xdr:to>
      <xdr:col>3</xdr:col>
      <xdr:colOff>381000</xdr:colOff>
      <xdr:row>9</xdr:row>
      <xdr:rowOff>123825</xdr:rowOff>
    </xdr:to>
    <xdr:sp macro="" textlink="">
      <xdr:nvSpPr>
        <xdr:cNvPr id="4" name="Flowchart: Process 3"/>
        <xdr:cNvSpPr/>
      </xdr:nvSpPr>
      <xdr:spPr>
        <a:xfrm>
          <a:off x="1362075" y="1362075"/>
          <a:ext cx="847725" cy="47625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EFF</a:t>
          </a:r>
        </a:p>
      </xdr:txBody>
    </xdr:sp>
    <xdr:clientData/>
  </xdr:twoCellAnchor>
  <xdr:twoCellAnchor>
    <xdr:from>
      <xdr:col>4</xdr:col>
      <xdr:colOff>28575</xdr:colOff>
      <xdr:row>7</xdr:row>
      <xdr:rowOff>9525</xdr:rowOff>
    </xdr:from>
    <xdr:to>
      <xdr:col>5</xdr:col>
      <xdr:colOff>266700</xdr:colOff>
      <xdr:row>9</xdr:row>
      <xdr:rowOff>104775</xdr:rowOff>
    </xdr:to>
    <xdr:sp macro="" textlink="">
      <xdr:nvSpPr>
        <xdr:cNvPr id="6" name="Flowchart: Process 5"/>
        <xdr:cNvSpPr/>
      </xdr:nvSpPr>
      <xdr:spPr>
        <a:xfrm>
          <a:off x="2466975" y="1343025"/>
          <a:ext cx="847725" cy="47625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SPT</a:t>
          </a:r>
        </a:p>
      </xdr:txBody>
    </xdr:sp>
    <xdr:clientData/>
  </xdr:twoCellAnchor>
  <xdr:twoCellAnchor>
    <xdr:from>
      <xdr:col>1</xdr:col>
      <xdr:colOff>100013</xdr:colOff>
      <xdr:row>5</xdr:row>
      <xdr:rowOff>161925</xdr:rowOff>
    </xdr:from>
    <xdr:to>
      <xdr:col>2</xdr:col>
      <xdr:colOff>576263</xdr:colOff>
      <xdr:row>7</xdr:row>
      <xdr:rowOff>28575</xdr:rowOff>
    </xdr:to>
    <xdr:cxnSp macro="">
      <xdr:nvCxnSpPr>
        <xdr:cNvPr id="8" name="Elbow Connector 7"/>
        <xdr:cNvCxnSpPr>
          <a:stCxn id="2" idx="2"/>
          <a:endCxn id="3" idx="0"/>
        </xdr:cNvCxnSpPr>
      </xdr:nvCxnSpPr>
      <xdr:spPr>
        <a:xfrm rot="5400000">
          <a:off x="1128713" y="695325"/>
          <a:ext cx="247650" cy="1085850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566738</xdr:colOff>
      <xdr:row>5</xdr:row>
      <xdr:rowOff>161926</xdr:rowOff>
    </xdr:from>
    <xdr:to>
      <xdr:col>2</xdr:col>
      <xdr:colOff>576263</xdr:colOff>
      <xdr:row>7</xdr:row>
      <xdr:rowOff>28576</xdr:rowOff>
    </xdr:to>
    <xdr:cxnSp macro="">
      <xdr:nvCxnSpPr>
        <xdr:cNvPr id="10" name="Elbow Connector 9"/>
        <xdr:cNvCxnSpPr>
          <a:stCxn id="2" idx="2"/>
          <a:endCxn id="4" idx="0"/>
        </xdr:cNvCxnSpPr>
      </xdr:nvCxnSpPr>
      <xdr:spPr>
        <a:xfrm rot="5400000">
          <a:off x="1666876" y="1233488"/>
          <a:ext cx="247650" cy="952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576262</xdr:colOff>
      <xdr:row>5</xdr:row>
      <xdr:rowOff>161925</xdr:rowOff>
    </xdr:from>
    <xdr:to>
      <xdr:col>4</xdr:col>
      <xdr:colOff>452437</xdr:colOff>
      <xdr:row>7</xdr:row>
      <xdr:rowOff>9525</xdr:rowOff>
    </xdr:to>
    <xdr:cxnSp macro="">
      <xdr:nvCxnSpPr>
        <xdr:cNvPr id="12" name="Elbow Connector 11"/>
        <xdr:cNvCxnSpPr>
          <a:stCxn id="2" idx="2"/>
          <a:endCxn id="6" idx="0"/>
        </xdr:cNvCxnSpPr>
      </xdr:nvCxnSpPr>
      <xdr:spPr>
        <a:xfrm rot="16200000" flipH="1">
          <a:off x="2228850" y="681037"/>
          <a:ext cx="228600" cy="109537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76"/>
  <sheetViews>
    <sheetView zoomScale="90" zoomScaleNormal="90" workbookViewId="0">
      <selection activeCell="M32" sqref="M32"/>
    </sheetView>
  </sheetViews>
  <sheetFormatPr defaultRowHeight="15"/>
  <cols>
    <col min="1" max="1" width="15.85546875" bestFit="1" customWidth="1"/>
    <col min="2" max="2" width="4.42578125" bestFit="1" customWidth="1"/>
    <col min="3" max="3" width="2.85546875" customWidth="1"/>
    <col min="4" max="4" width="16.42578125" bestFit="1" customWidth="1"/>
    <col min="5" max="5" width="3.42578125" bestFit="1" customWidth="1"/>
    <col min="6" max="6" width="2.85546875" customWidth="1"/>
    <col min="7" max="7" width="21.42578125" bestFit="1" customWidth="1"/>
    <col min="8" max="8" width="4.42578125" bestFit="1" customWidth="1"/>
    <col min="9" max="9" width="2.85546875" customWidth="1"/>
    <col min="10" max="10" width="21.42578125" bestFit="1" customWidth="1"/>
    <col min="11" max="11" width="3.42578125" bestFit="1" customWidth="1"/>
    <col min="12" max="12" width="3" customWidth="1"/>
    <col min="13" max="13" width="15.5703125" bestFit="1" customWidth="1"/>
    <col min="14" max="14" width="4.42578125" bestFit="1" customWidth="1"/>
    <col min="15" max="15" width="2.85546875" customWidth="1"/>
    <col min="16" max="16" width="15.5703125" bestFit="1" customWidth="1"/>
    <col min="17" max="17" width="3.42578125" bestFit="1" customWidth="1"/>
    <col min="18" max="18" width="2.85546875" customWidth="1"/>
    <col min="19" max="19" width="15.85546875" bestFit="1" customWidth="1"/>
    <col min="20" max="20" width="4.42578125" bestFit="1" customWidth="1"/>
    <col min="21" max="21" width="2.85546875" customWidth="1"/>
    <col min="22" max="22" width="11.7109375" bestFit="1" customWidth="1"/>
    <col min="23" max="23" width="2.28515625" bestFit="1" customWidth="1"/>
    <col min="24" max="24" width="2.85546875" customWidth="1"/>
    <col min="25" max="25" width="7" bestFit="1" customWidth="1"/>
    <col min="26" max="26" width="14.85546875" bestFit="1" customWidth="1"/>
    <col min="27" max="27" width="2.85546875" customWidth="1"/>
    <col min="28" max="28" width="20.42578125" bestFit="1" customWidth="1"/>
    <col min="29" max="29" width="3.42578125" bestFit="1" customWidth="1"/>
    <col min="30" max="30" width="2.85546875" customWidth="1"/>
    <col min="31" max="31" width="11.5703125" bestFit="1" customWidth="1"/>
    <col min="32" max="32" width="2" bestFit="1" customWidth="1"/>
    <col min="33" max="33" width="2.85546875" customWidth="1"/>
    <col min="34" max="34" width="6.7109375" bestFit="1" customWidth="1"/>
    <col min="35" max="35" width="14.7109375" bestFit="1" customWidth="1"/>
    <col min="36" max="36" width="2" customWidth="1"/>
    <col min="37" max="37" width="15.140625" bestFit="1" customWidth="1"/>
    <col min="38" max="38" width="3" bestFit="1" customWidth="1"/>
    <col min="39" max="39" width="2" customWidth="1"/>
    <col min="40" max="40" width="15.42578125" bestFit="1" customWidth="1"/>
    <col min="41" max="41" width="3" bestFit="1" customWidth="1"/>
    <col min="42" max="42" width="2" customWidth="1"/>
    <col min="43" max="43" width="12.140625" bestFit="1" customWidth="1"/>
    <col min="44" max="44" width="3" bestFit="1" customWidth="1"/>
    <col min="45" max="45" width="2" customWidth="1"/>
    <col min="46" max="46" width="20.42578125" bestFit="1" customWidth="1"/>
    <col min="47" max="47" width="3" bestFit="1" customWidth="1"/>
    <col min="48" max="49" width="2" customWidth="1"/>
    <col min="50" max="50" width="20.42578125" bestFit="1" customWidth="1"/>
    <col min="51" max="51" width="3" bestFit="1" customWidth="1"/>
    <col min="52" max="52" width="2.85546875" customWidth="1"/>
    <col min="53" max="53" width="12" bestFit="1" customWidth="1"/>
    <col min="54" max="54" width="4" bestFit="1" customWidth="1"/>
    <col min="55" max="55" width="2.85546875" customWidth="1"/>
    <col min="56" max="56" width="11.5703125" bestFit="1" customWidth="1"/>
    <col min="57" max="57" width="2" bestFit="1" customWidth="1"/>
    <col min="58" max="58" width="2.85546875" customWidth="1"/>
    <col min="59" max="59" width="20.85546875" bestFit="1" customWidth="1"/>
    <col min="60" max="60" width="4" bestFit="1" customWidth="1"/>
    <col min="61" max="61" width="2.85546875" customWidth="1"/>
    <col min="62" max="62" width="15.42578125" bestFit="1" customWidth="1"/>
    <col min="63" max="63" width="4" bestFit="1" customWidth="1"/>
    <col min="64" max="64" width="2.85546875" customWidth="1"/>
    <col min="65" max="65" width="6.7109375" bestFit="1" customWidth="1"/>
    <col min="66" max="66" width="14.7109375" bestFit="1" customWidth="1"/>
  </cols>
  <sheetData>
    <row r="1" spans="1:55">
      <c r="A1" s="4" t="s">
        <v>0</v>
      </c>
      <c r="B1" s="5">
        <f>SUM(B2,B5,B8,B11)</f>
        <v>8</v>
      </c>
      <c r="D1" s="4" t="s">
        <v>74</v>
      </c>
      <c r="E1" s="5">
        <f>SUM(E2,E5,E8,E11)</f>
        <v>8</v>
      </c>
      <c r="G1" s="4" t="s">
        <v>63</v>
      </c>
      <c r="H1" s="5">
        <f>SUM(H2,H5,H8,H11,H14)</f>
        <v>12</v>
      </c>
      <c r="J1" s="4" t="s">
        <v>66</v>
      </c>
      <c r="K1" s="5">
        <f>SUM(K2,K5,K8,K11,K14)</f>
        <v>12</v>
      </c>
      <c r="M1" s="4" t="s">
        <v>34</v>
      </c>
      <c r="N1" s="5">
        <f>SUM(N2:N3)</f>
        <v>16</v>
      </c>
      <c r="P1" s="4" t="s">
        <v>40</v>
      </c>
      <c r="Q1" s="5">
        <f>SUM(Q2,Q6,Q10)</f>
        <v>18</v>
      </c>
      <c r="S1" s="4" t="s">
        <v>50</v>
      </c>
      <c r="T1" s="5">
        <f>SUM(T2:T4)</f>
        <v>714</v>
      </c>
      <c r="V1" s="4" t="s">
        <v>55</v>
      </c>
      <c r="W1" s="5">
        <f>SUM(W2:W5)</f>
        <v>4</v>
      </c>
      <c r="Y1" s="25" t="s">
        <v>76</v>
      </c>
      <c r="Z1" s="25" t="s">
        <v>77</v>
      </c>
    </row>
    <row r="2" spans="1:55">
      <c r="A2" s="6" t="s">
        <v>4</v>
      </c>
      <c r="B2" s="7">
        <f>SUM(B3:B4)</f>
        <v>2</v>
      </c>
      <c r="D2" s="6" t="s">
        <v>4</v>
      </c>
      <c r="E2" s="7">
        <f>SUM(E3:E4)</f>
        <v>2</v>
      </c>
      <c r="G2" s="6" t="s">
        <v>4</v>
      </c>
      <c r="H2" s="7">
        <f>SUM(H3:H4)</f>
        <v>2</v>
      </c>
      <c r="J2" s="6" t="s">
        <v>4</v>
      </c>
      <c r="K2" s="7">
        <f>SUM(K3:K4)</f>
        <v>2</v>
      </c>
      <c r="M2" s="8" t="s">
        <v>56</v>
      </c>
      <c r="N2" s="9">
        <f>W1</f>
        <v>4</v>
      </c>
      <c r="P2" s="6" t="s">
        <v>24</v>
      </c>
      <c r="Q2" s="7">
        <f>SUM(Q3:Q5)</f>
        <v>6</v>
      </c>
      <c r="S2" s="8" t="s">
        <v>28</v>
      </c>
      <c r="T2" s="18">
        <f>B26</f>
        <v>84</v>
      </c>
      <c r="V2" s="8" t="s">
        <v>35</v>
      </c>
      <c r="W2" s="9">
        <v>1</v>
      </c>
      <c r="Y2" s="25" t="s">
        <v>52</v>
      </c>
      <c r="Z2" s="25" t="s">
        <v>51</v>
      </c>
      <c r="AA2" s="1"/>
      <c r="BC2" s="1"/>
    </row>
    <row r="3" spans="1:55">
      <c r="A3" s="8" t="s">
        <v>1</v>
      </c>
      <c r="B3" s="9">
        <v>1</v>
      </c>
      <c r="D3" s="8" t="s">
        <v>12</v>
      </c>
      <c r="E3" s="9">
        <v>1</v>
      </c>
      <c r="G3" s="8" t="s">
        <v>1</v>
      </c>
      <c r="H3" s="9">
        <v>1</v>
      </c>
      <c r="J3" s="8" t="s">
        <v>12</v>
      </c>
      <c r="K3" s="9">
        <v>1</v>
      </c>
      <c r="M3" s="8" t="s">
        <v>57</v>
      </c>
      <c r="N3" s="9">
        <f>W1*3</f>
        <v>12</v>
      </c>
      <c r="P3" s="8" t="s">
        <v>43</v>
      </c>
      <c r="Q3" s="9">
        <v>1</v>
      </c>
      <c r="S3" s="8" t="s">
        <v>73</v>
      </c>
      <c r="T3" s="18">
        <f>H27*3</f>
        <v>564</v>
      </c>
      <c r="V3" s="8" t="s">
        <v>36</v>
      </c>
      <c r="W3" s="9">
        <v>1</v>
      </c>
      <c r="Y3" s="25" t="s">
        <v>78</v>
      </c>
      <c r="Z3" s="25" t="s">
        <v>79</v>
      </c>
      <c r="AA3" s="1"/>
    </row>
    <row r="4" spans="1:55">
      <c r="A4" s="8" t="s">
        <v>2</v>
      </c>
      <c r="B4" s="9">
        <v>1</v>
      </c>
      <c r="D4" s="8" t="s">
        <v>2</v>
      </c>
      <c r="E4" s="9">
        <v>1</v>
      </c>
      <c r="G4" s="8" t="s">
        <v>2</v>
      </c>
      <c r="H4" s="9">
        <v>1</v>
      </c>
      <c r="J4" s="8" t="s">
        <v>2</v>
      </c>
      <c r="K4" s="9">
        <v>1</v>
      </c>
      <c r="M4" s="15" t="s">
        <v>53</v>
      </c>
      <c r="N4" s="16">
        <v>4</v>
      </c>
      <c r="P4" s="8" t="s">
        <v>13</v>
      </c>
      <c r="Q4" s="9">
        <v>1</v>
      </c>
      <c r="S4" s="8" t="s">
        <v>31</v>
      </c>
      <c r="T4" s="18">
        <f>N10</f>
        <v>66</v>
      </c>
      <c r="V4" s="8" t="s">
        <v>37</v>
      </c>
      <c r="W4" s="9">
        <v>1</v>
      </c>
      <c r="Y4" s="25" t="s">
        <v>53</v>
      </c>
      <c r="Z4" s="25" t="s">
        <v>80</v>
      </c>
      <c r="AA4" s="3"/>
    </row>
    <row r="5" spans="1:55">
      <c r="A5" s="6" t="s">
        <v>3</v>
      </c>
      <c r="B5" s="7">
        <f>SUM(B6:B7)</f>
        <v>2</v>
      </c>
      <c r="D5" s="6" t="s">
        <v>3</v>
      </c>
      <c r="E5" s="7">
        <f>SUM(E6:E7)</f>
        <v>2</v>
      </c>
      <c r="G5" s="6" t="s">
        <v>3</v>
      </c>
      <c r="H5" s="7">
        <f>SUM(H6:H7)</f>
        <v>2</v>
      </c>
      <c r="J5" s="6" t="s">
        <v>3</v>
      </c>
      <c r="K5" s="7">
        <f>SUM(K6:K7)</f>
        <v>2</v>
      </c>
      <c r="M5" s="26"/>
      <c r="N5" s="26"/>
      <c r="P5" s="8" t="s">
        <v>54</v>
      </c>
      <c r="Q5" s="9">
        <v>4</v>
      </c>
      <c r="S5" s="19" t="s">
        <v>52</v>
      </c>
      <c r="T5" s="20">
        <v>3</v>
      </c>
      <c r="V5" s="13" t="s">
        <v>38</v>
      </c>
      <c r="W5" s="12">
        <v>1</v>
      </c>
      <c r="Y5" s="25" t="s">
        <v>58</v>
      </c>
      <c r="Z5" s="25" t="s">
        <v>59</v>
      </c>
      <c r="AA5" s="3"/>
      <c r="AN5" s="1"/>
      <c r="AO5" s="1"/>
      <c r="BA5" s="1"/>
      <c r="BB5" s="1"/>
    </row>
    <row r="6" spans="1:55">
      <c r="A6" s="10" t="s">
        <v>5</v>
      </c>
      <c r="B6" s="9">
        <v>1</v>
      </c>
      <c r="D6" s="10" t="s">
        <v>14</v>
      </c>
      <c r="E6" s="9">
        <v>1</v>
      </c>
      <c r="G6" s="10" t="s">
        <v>5</v>
      </c>
      <c r="H6" s="9">
        <v>1</v>
      </c>
      <c r="J6" s="10" t="s">
        <v>14</v>
      </c>
      <c r="K6" s="9">
        <v>1</v>
      </c>
      <c r="M6" s="4" t="s">
        <v>32</v>
      </c>
      <c r="N6" s="5">
        <f>SUM(N7)</f>
        <v>18</v>
      </c>
      <c r="P6" s="6" t="s">
        <v>25</v>
      </c>
      <c r="Q6" s="7">
        <f>SUM(Q7:Q9)</f>
        <v>6</v>
      </c>
      <c r="S6" s="19" t="s">
        <v>53</v>
      </c>
      <c r="T6" s="20">
        <v>12</v>
      </c>
      <c r="Y6" s="25" t="s">
        <v>60</v>
      </c>
      <c r="Z6" s="25" t="s">
        <v>61</v>
      </c>
      <c r="AA6" s="1"/>
    </row>
    <row r="7" spans="1:55">
      <c r="A7" s="10" t="s">
        <v>2</v>
      </c>
      <c r="B7" s="9">
        <v>1</v>
      </c>
      <c r="D7" s="10" t="s">
        <v>2</v>
      </c>
      <c r="E7" s="9">
        <v>1</v>
      </c>
      <c r="G7" s="10" t="s">
        <v>2</v>
      </c>
      <c r="H7" s="9">
        <v>1</v>
      </c>
      <c r="J7" s="10" t="s">
        <v>2</v>
      </c>
      <c r="K7" s="9">
        <v>1</v>
      </c>
      <c r="M7" s="8" t="s">
        <v>40</v>
      </c>
      <c r="N7" s="9">
        <f>Q1</f>
        <v>18</v>
      </c>
      <c r="P7" s="8" t="s">
        <v>22</v>
      </c>
      <c r="Q7" s="9">
        <v>1</v>
      </c>
      <c r="S7" s="15" t="s">
        <v>58</v>
      </c>
      <c r="T7" s="16">
        <f>H30*3</f>
        <v>72</v>
      </c>
      <c r="V7" s="4" t="s">
        <v>62</v>
      </c>
      <c r="W7" s="5">
        <f>SUM(W8:W9)</f>
        <v>2</v>
      </c>
      <c r="AA7" s="3"/>
      <c r="AB7" s="1"/>
      <c r="AC7" s="1"/>
    </row>
    <row r="8" spans="1:55">
      <c r="A8" s="6" t="s">
        <v>6</v>
      </c>
      <c r="B8" s="7">
        <f>SUM(B9:B10)</f>
        <v>2</v>
      </c>
      <c r="D8" s="6" t="s">
        <v>6</v>
      </c>
      <c r="E8" s="7">
        <f>SUM(E9:E10)</f>
        <v>2</v>
      </c>
      <c r="G8" s="6" t="s">
        <v>6</v>
      </c>
      <c r="H8" s="7">
        <f>SUM(H9:H10)</f>
        <v>2</v>
      </c>
      <c r="J8" s="6" t="s">
        <v>6</v>
      </c>
      <c r="K8" s="7">
        <f>SUM(K9:K10)</f>
        <v>2</v>
      </c>
      <c r="M8" s="15" t="s">
        <v>52</v>
      </c>
      <c r="N8" s="16">
        <v>3</v>
      </c>
      <c r="P8" s="8" t="s">
        <v>13</v>
      </c>
      <c r="Q8" s="9">
        <v>1</v>
      </c>
      <c r="V8" s="8" t="s">
        <v>37</v>
      </c>
      <c r="W8" s="9">
        <v>1</v>
      </c>
      <c r="AA8" s="3"/>
    </row>
    <row r="9" spans="1:55">
      <c r="A9" s="10" t="s">
        <v>7</v>
      </c>
      <c r="B9" s="9">
        <v>1</v>
      </c>
      <c r="D9" s="10" t="s">
        <v>15</v>
      </c>
      <c r="E9" s="9">
        <v>1</v>
      </c>
      <c r="G9" s="10" t="s">
        <v>7</v>
      </c>
      <c r="H9" s="9">
        <v>1</v>
      </c>
      <c r="J9" s="10" t="s">
        <v>15</v>
      </c>
      <c r="K9" s="9">
        <v>1</v>
      </c>
      <c r="P9" s="8" t="s">
        <v>54</v>
      </c>
      <c r="Q9" s="9">
        <v>4</v>
      </c>
      <c r="V9" s="13" t="s">
        <v>36</v>
      </c>
      <c r="W9" s="12">
        <v>1</v>
      </c>
      <c r="AA9" s="1"/>
    </row>
    <row r="10" spans="1:55">
      <c r="A10" s="10" t="s">
        <v>2</v>
      </c>
      <c r="B10" s="9">
        <v>1</v>
      </c>
      <c r="D10" s="10" t="s">
        <v>2</v>
      </c>
      <c r="E10" s="9">
        <v>1</v>
      </c>
      <c r="G10" s="10" t="s">
        <v>2</v>
      </c>
      <c r="H10" s="9">
        <v>1</v>
      </c>
      <c r="J10" s="10" t="s">
        <v>2</v>
      </c>
      <c r="K10" s="9">
        <v>1</v>
      </c>
      <c r="M10" s="4" t="s">
        <v>31</v>
      </c>
      <c r="N10" s="5">
        <f>SUM(N11:N12)</f>
        <v>66</v>
      </c>
      <c r="P10" s="6" t="s">
        <v>26</v>
      </c>
      <c r="Q10" s="7">
        <f>SUM(Q11:Q13)</f>
        <v>6</v>
      </c>
      <c r="AA10" s="3"/>
    </row>
    <row r="11" spans="1:55">
      <c r="A11" s="6" t="s">
        <v>8</v>
      </c>
      <c r="B11" s="7">
        <f>SUM(B12:B13)</f>
        <v>2</v>
      </c>
      <c r="D11" s="6" t="s">
        <v>8</v>
      </c>
      <c r="E11" s="7">
        <f>SUM(E12:E13)</f>
        <v>2</v>
      </c>
      <c r="G11" s="6" t="s">
        <v>8</v>
      </c>
      <c r="H11" s="7">
        <f>SUM(H12:H13)</f>
        <v>2</v>
      </c>
      <c r="J11" s="6" t="s">
        <v>8</v>
      </c>
      <c r="K11" s="7">
        <f>SUM(K12:K13)</f>
        <v>2</v>
      </c>
      <c r="M11" s="17" t="s">
        <v>32</v>
      </c>
      <c r="N11" s="18">
        <f>N6</f>
        <v>18</v>
      </c>
      <c r="P11" s="8" t="s">
        <v>23</v>
      </c>
      <c r="Q11" s="9">
        <v>1</v>
      </c>
      <c r="V11" s="4" t="s">
        <v>54</v>
      </c>
      <c r="W11" s="5">
        <f>SUM(W12:W17)</f>
        <v>6</v>
      </c>
      <c r="AA11" s="3"/>
    </row>
    <row r="12" spans="1:55">
      <c r="A12" s="10" t="s">
        <v>9</v>
      </c>
      <c r="B12" s="9">
        <v>1</v>
      </c>
      <c r="D12" s="10" t="s">
        <v>13</v>
      </c>
      <c r="E12" s="9">
        <v>1</v>
      </c>
      <c r="G12" s="10" t="s">
        <v>9</v>
      </c>
      <c r="H12" s="9">
        <v>1</v>
      </c>
      <c r="J12" s="10" t="s">
        <v>13</v>
      </c>
      <c r="K12" s="9">
        <v>1</v>
      </c>
      <c r="M12" s="17" t="s">
        <v>33</v>
      </c>
      <c r="N12" s="18">
        <f>N1*3</f>
        <v>48</v>
      </c>
      <c r="P12" s="8" t="s">
        <v>13</v>
      </c>
      <c r="Q12" s="9">
        <v>1</v>
      </c>
      <c r="V12" s="8" t="s">
        <v>35</v>
      </c>
      <c r="W12" s="9">
        <v>1</v>
      </c>
      <c r="AA12" s="1"/>
    </row>
    <row r="13" spans="1:55">
      <c r="A13" s="11" t="s">
        <v>2</v>
      </c>
      <c r="B13" s="12">
        <v>1</v>
      </c>
      <c r="D13" s="11" t="s">
        <v>2</v>
      </c>
      <c r="E13" s="12">
        <v>1</v>
      </c>
      <c r="G13" s="10" t="s">
        <v>2</v>
      </c>
      <c r="H13" s="9">
        <v>1</v>
      </c>
      <c r="J13" s="10" t="s">
        <v>2</v>
      </c>
      <c r="K13" s="9">
        <v>1</v>
      </c>
      <c r="M13" s="19" t="s">
        <v>52</v>
      </c>
      <c r="N13" s="20">
        <v>3</v>
      </c>
      <c r="P13" s="8" t="s">
        <v>54</v>
      </c>
      <c r="Q13" s="9">
        <v>4</v>
      </c>
      <c r="V13" s="8" t="s">
        <v>36</v>
      </c>
      <c r="W13" s="9">
        <v>1</v>
      </c>
      <c r="AA13" s="3"/>
    </row>
    <row r="14" spans="1:55">
      <c r="A14" s="28"/>
      <c r="B14" s="27"/>
      <c r="G14" s="6" t="s">
        <v>64</v>
      </c>
      <c r="H14" s="7">
        <f>W7*2</f>
        <v>4</v>
      </c>
      <c r="J14" s="6" t="s">
        <v>64</v>
      </c>
      <c r="K14" s="7">
        <f>W7*2</f>
        <v>4</v>
      </c>
      <c r="M14" s="15" t="s">
        <v>53</v>
      </c>
      <c r="N14" s="16">
        <v>12</v>
      </c>
      <c r="P14" s="23" t="s">
        <v>52</v>
      </c>
      <c r="Q14" s="24">
        <v>3</v>
      </c>
      <c r="V14" s="8" t="s">
        <v>37</v>
      </c>
      <c r="W14" s="9">
        <v>1</v>
      </c>
      <c r="AA14" s="3"/>
    </row>
    <row r="15" spans="1:55">
      <c r="A15" s="4" t="s">
        <v>10</v>
      </c>
      <c r="B15" s="5">
        <f>SUM(B16:B17)</f>
        <v>32</v>
      </c>
      <c r="D15" s="4" t="s">
        <v>69</v>
      </c>
      <c r="E15" s="5">
        <f>SUM(E16,E20,E24,C33,C34)</f>
        <v>12</v>
      </c>
      <c r="G15" s="13" t="s">
        <v>58</v>
      </c>
      <c r="H15" s="14">
        <v>2</v>
      </c>
      <c r="J15" s="13" t="s">
        <v>58</v>
      </c>
      <c r="K15" s="14">
        <v>2</v>
      </c>
      <c r="V15" s="8" t="s">
        <v>38</v>
      </c>
      <c r="W15" s="9">
        <v>1</v>
      </c>
      <c r="AA15" s="3"/>
    </row>
    <row r="16" spans="1:55">
      <c r="A16" s="8" t="s">
        <v>11</v>
      </c>
      <c r="B16" s="9">
        <f>E1</f>
        <v>8</v>
      </c>
      <c r="D16" s="6" t="s">
        <v>24</v>
      </c>
      <c r="E16" s="7">
        <f>SUM(E17:E19)</f>
        <v>4</v>
      </c>
      <c r="M16" s="4" t="s">
        <v>42</v>
      </c>
      <c r="N16" s="5">
        <f>SUM(N17)</f>
        <v>18</v>
      </c>
      <c r="P16" s="4" t="s">
        <v>45</v>
      </c>
      <c r="Q16" s="5">
        <f>SUM(Q17,Q21,Q25)</f>
        <v>18</v>
      </c>
      <c r="V16" s="8" t="s">
        <v>44</v>
      </c>
      <c r="W16" s="9">
        <v>1</v>
      </c>
      <c r="AA16" s="3"/>
    </row>
    <row r="17" spans="1:63">
      <c r="A17" s="13" t="s">
        <v>16</v>
      </c>
      <c r="B17" s="12">
        <f>B1*3</f>
        <v>24</v>
      </c>
      <c r="D17" s="8" t="s">
        <v>20</v>
      </c>
      <c r="E17" s="9">
        <v>1</v>
      </c>
      <c r="G17" s="4" t="s">
        <v>65</v>
      </c>
      <c r="H17" s="5">
        <f>SUM(H18:H19)</f>
        <v>48</v>
      </c>
      <c r="J17" s="4" t="s">
        <v>71</v>
      </c>
      <c r="K17" s="5">
        <f>SUM(K18,K22,K26,K29)</f>
        <v>14</v>
      </c>
      <c r="M17" s="8" t="s">
        <v>45</v>
      </c>
      <c r="N17" s="9">
        <f>Q16</f>
        <v>18</v>
      </c>
      <c r="P17" s="6" t="s">
        <v>24</v>
      </c>
      <c r="Q17" s="7">
        <f>SUM(Q18:Q20)</f>
        <v>6</v>
      </c>
      <c r="V17" s="13" t="s">
        <v>13</v>
      </c>
      <c r="W17" s="12">
        <v>1</v>
      </c>
    </row>
    <row r="18" spans="1:63">
      <c r="D18" s="8" t="s">
        <v>13</v>
      </c>
      <c r="E18" s="9">
        <v>1</v>
      </c>
      <c r="G18" s="8" t="s">
        <v>66</v>
      </c>
      <c r="H18" s="9">
        <f>K1</f>
        <v>12</v>
      </c>
      <c r="J18" s="6" t="s">
        <v>24</v>
      </c>
      <c r="K18" s="7">
        <f>SUM(K19:K21)</f>
        <v>4</v>
      </c>
      <c r="M18" s="15" t="s">
        <v>52</v>
      </c>
      <c r="N18" s="16">
        <v>3</v>
      </c>
      <c r="P18" s="8" t="s">
        <v>46</v>
      </c>
      <c r="Q18" s="9">
        <v>1</v>
      </c>
      <c r="AZ18" s="1"/>
    </row>
    <row r="19" spans="1:63">
      <c r="A19" s="4" t="s">
        <v>72</v>
      </c>
      <c r="B19" s="5">
        <f>SUM(B20)</f>
        <v>12</v>
      </c>
      <c r="D19" s="8" t="s">
        <v>21</v>
      </c>
      <c r="E19" s="9">
        <v>2</v>
      </c>
      <c r="G19" s="8" t="s">
        <v>67</v>
      </c>
      <c r="H19" s="9">
        <f>H1*3</f>
        <v>36</v>
      </c>
      <c r="J19" s="8" t="s">
        <v>20</v>
      </c>
      <c r="K19" s="9">
        <v>1</v>
      </c>
      <c r="P19" s="8" t="s">
        <v>13</v>
      </c>
      <c r="Q19" s="9">
        <v>1</v>
      </c>
    </row>
    <row r="20" spans="1:63">
      <c r="A20" s="13" t="s">
        <v>69</v>
      </c>
      <c r="B20" s="12">
        <f>E15</f>
        <v>12</v>
      </c>
      <c r="D20" s="6" t="s">
        <v>25</v>
      </c>
      <c r="E20" s="7">
        <f>SUM(E21:E23)</f>
        <v>4</v>
      </c>
      <c r="G20" s="15" t="s">
        <v>58</v>
      </c>
      <c r="H20" s="16">
        <f>H15*3+K15*1</f>
        <v>8</v>
      </c>
      <c r="J20" s="8" t="s">
        <v>13</v>
      </c>
      <c r="K20" s="9">
        <v>1</v>
      </c>
      <c r="M20" s="4" t="s">
        <v>41</v>
      </c>
      <c r="N20" s="5">
        <f>SUM(N21:N23)</f>
        <v>219</v>
      </c>
      <c r="P20" s="8" t="s">
        <v>54</v>
      </c>
      <c r="Q20" s="9">
        <v>4</v>
      </c>
    </row>
    <row r="21" spans="1:63">
      <c r="D21" s="8" t="s">
        <v>22</v>
      </c>
      <c r="E21" s="9">
        <v>1</v>
      </c>
      <c r="J21" s="8" t="s">
        <v>62</v>
      </c>
      <c r="K21" s="9">
        <f>W7</f>
        <v>2</v>
      </c>
      <c r="M21" s="8" t="s">
        <v>42</v>
      </c>
      <c r="N21" s="18">
        <f>N16</f>
        <v>18</v>
      </c>
      <c r="P21" s="6" t="s">
        <v>25</v>
      </c>
      <c r="Q21" s="7">
        <f>SUM(Q22:Q24)</f>
        <v>6</v>
      </c>
    </row>
    <row r="22" spans="1:63">
      <c r="A22" s="4" t="s">
        <v>17</v>
      </c>
      <c r="B22" s="5">
        <f>SUM(B23:B24)</f>
        <v>108</v>
      </c>
      <c r="D22" s="8" t="s">
        <v>13</v>
      </c>
      <c r="E22" s="9">
        <v>1</v>
      </c>
      <c r="G22" s="4" t="s">
        <v>70</v>
      </c>
      <c r="H22" s="5">
        <f>SUM(H23:H24)</f>
        <v>20</v>
      </c>
      <c r="J22" s="6" t="s">
        <v>25</v>
      </c>
      <c r="K22" s="7">
        <f>SUM(K23:K25)</f>
        <v>4</v>
      </c>
      <c r="M22" s="21" t="s">
        <v>52</v>
      </c>
      <c r="N22" s="22">
        <v>3</v>
      </c>
      <c r="P22" s="8" t="s">
        <v>48</v>
      </c>
      <c r="Q22" s="9">
        <v>1</v>
      </c>
    </row>
    <row r="23" spans="1:63">
      <c r="A23" s="8" t="s">
        <v>18</v>
      </c>
      <c r="B23" s="9">
        <f>B19</f>
        <v>12</v>
      </c>
      <c r="D23" s="8" t="s">
        <v>21</v>
      </c>
      <c r="E23" s="9">
        <v>2</v>
      </c>
      <c r="G23" s="8" t="s">
        <v>71</v>
      </c>
      <c r="H23" s="9">
        <f>K17</f>
        <v>14</v>
      </c>
      <c r="J23" s="8" t="s">
        <v>22</v>
      </c>
      <c r="K23" s="9">
        <v>1</v>
      </c>
      <c r="M23" s="17" t="s">
        <v>49</v>
      </c>
      <c r="N23" s="18">
        <f>N10*3</f>
        <v>198</v>
      </c>
      <c r="P23" s="8" t="s">
        <v>13</v>
      </c>
      <c r="Q23" s="9">
        <v>1</v>
      </c>
      <c r="BJ23" s="2"/>
      <c r="BK23" s="2"/>
    </row>
    <row r="24" spans="1:63">
      <c r="A24" s="13" t="s">
        <v>19</v>
      </c>
      <c r="B24" s="12">
        <f>B15*3</f>
        <v>96</v>
      </c>
      <c r="D24" s="6" t="s">
        <v>26</v>
      </c>
      <c r="E24" s="7">
        <f>SUM(E25:E27)</f>
        <v>4</v>
      </c>
      <c r="G24" s="8" t="s">
        <v>81</v>
      </c>
      <c r="H24" s="9">
        <f>K32</f>
        <v>6</v>
      </c>
      <c r="J24" s="8" t="s">
        <v>13</v>
      </c>
      <c r="K24" s="9">
        <v>1</v>
      </c>
      <c r="M24" s="21" t="s">
        <v>52</v>
      </c>
      <c r="N24" s="22">
        <f>N13*3</f>
        <v>9</v>
      </c>
      <c r="P24" s="8" t="s">
        <v>54</v>
      </c>
      <c r="Q24" s="9">
        <v>4</v>
      </c>
    </row>
    <row r="25" spans="1:63">
      <c r="D25" s="8" t="s">
        <v>23</v>
      </c>
      <c r="E25" s="9">
        <v>1</v>
      </c>
      <c r="G25" s="15" t="s">
        <v>58</v>
      </c>
      <c r="H25" s="16">
        <f>K30+K36</f>
        <v>4</v>
      </c>
      <c r="J25" s="8" t="s">
        <v>62</v>
      </c>
      <c r="K25" s="9">
        <f>W7</f>
        <v>2</v>
      </c>
      <c r="M25" s="21" t="s">
        <v>53</v>
      </c>
      <c r="N25" s="22">
        <f>N14*3</f>
        <v>36</v>
      </c>
      <c r="P25" s="6" t="s">
        <v>29</v>
      </c>
      <c r="Q25" s="7">
        <f>SUM(Q26:Q28)</f>
        <v>6</v>
      </c>
    </row>
    <row r="26" spans="1:63">
      <c r="A26" s="4" t="s">
        <v>28</v>
      </c>
      <c r="B26" s="5">
        <f>SUM(B27)</f>
        <v>84</v>
      </c>
      <c r="D26" s="8" t="s">
        <v>13</v>
      </c>
      <c r="E26" s="9">
        <v>1</v>
      </c>
      <c r="G26" s="1"/>
      <c r="H26" s="1"/>
      <c r="J26" s="6" t="s">
        <v>26</v>
      </c>
      <c r="K26" s="7">
        <f>SUM(K27:K29)</f>
        <v>4</v>
      </c>
      <c r="M26" s="19" t="s">
        <v>52</v>
      </c>
      <c r="N26" s="20">
        <f>N24+N22</f>
        <v>12</v>
      </c>
      <c r="P26" s="8" t="s">
        <v>47</v>
      </c>
      <c r="Q26" s="9">
        <v>1</v>
      </c>
    </row>
    <row r="27" spans="1:63">
      <c r="A27" s="13" t="s">
        <v>39</v>
      </c>
      <c r="B27" s="12">
        <f>E29</f>
        <v>84</v>
      </c>
      <c r="D27" s="13" t="s">
        <v>21</v>
      </c>
      <c r="E27" s="12">
        <v>2</v>
      </c>
      <c r="G27" s="4" t="s">
        <v>68</v>
      </c>
      <c r="H27" s="5">
        <f>SUM(H28:H30)</f>
        <v>188</v>
      </c>
      <c r="J27" s="8" t="s">
        <v>23</v>
      </c>
      <c r="K27" s="9">
        <v>1</v>
      </c>
      <c r="M27" s="15" t="s">
        <v>53</v>
      </c>
      <c r="N27" s="16">
        <f>N25</f>
        <v>36</v>
      </c>
      <c r="P27" s="8" t="s">
        <v>13</v>
      </c>
      <c r="Q27" s="9">
        <v>1</v>
      </c>
    </row>
    <row r="28" spans="1:63">
      <c r="A28" s="27"/>
      <c r="B28" s="27"/>
      <c r="G28" s="8" t="s">
        <v>18</v>
      </c>
      <c r="H28" s="9">
        <f>H22</f>
        <v>20</v>
      </c>
      <c r="J28" s="8" t="s">
        <v>13</v>
      </c>
      <c r="K28" s="9">
        <v>1</v>
      </c>
      <c r="P28" s="8" t="s">
        <v>54</v>
      </c>
      <c r="Q28" s="9">
        <v>4</v>
      </c>
    </row>
    <row r="29" spans="1:63">
      <c r="A29" s="4" t="s">
        <v>27</v>
      </c>
      <c r="B29" s="5">
        <f>SUM(B30:B31)</f>
        <v>408</v>
      </c>
      <c r="D29" s="4" t="s">
        <v>75</v>
      </c>
      <c r="E29" s="5">
        <f>SUM(E30,E34,E38,T7,Z39)</f>
        <v>84</v>
      </c>
      <c r="G29" s="8" t="s">
        <v>19</v>
      </c>
      <c r="H29" s="9">
        <f>H17*3</f>
        <v>144</v>
      </c>
      <c r="J29" s="6" t="s">
        <v>62</v>
      </c>
      <c r="K29" s="7">
        <f>W7</f>
        <v>2</v>
      </c>
      <c r="P29" s="15" t="s">
        <v>52</v>
      </c>
      <c r="Q29" s="16">
        <v>3</v>
      </c>
      <c r="BI29" s="2"/>
    </row>
    <row r="30" spans="1:63">
      <c r="A30" s="8" t="s">
        <v>28</v>
      </c>
      <c r="B30" s="9">
        <f>B26</f>
        <v>84</v>
      </c>
      <c r="D30" s="6" t="s">
        <v>24</v>
      </c>
      <c r="E30" s="7">
        <f>SUM(E31:E33)</f>
        <v>4</v>
      </c>
      <c r="G30" s="15" t="s">
        <v>58</v>
      </c>
      <c r="H30" s="16">
        <f>H20*3</f>
        <v>24</v>
      </c>
      <c r="J30" s="15" t="s">
        <v>58</v>
      </c>
      <c r="K30" s="16">
        <v>3</v>
      </c>
    </row>
    <row r="31" spans="1:63">
      <c r="A31" s="13" t="s">
        <v>30</v>
      </c>
      <c r="B31" s="12">
        <f>B22*3</f>
        <v>324</v>
      </c>
      <c r="D31" s="8" t="s">
        <v>20</v>
      </c>
      <c r="E31" s="9">
        <v>1</v>
      </c>
    </row>
    <row r="32" spans="1:63">
      <c r="A32" s="27"/>
      <c r="B32" s="27"/>
      <c r="D32" s="8" t="s">
        <v>13</v>
      </c>
      <c r="E32" s="9">
        <v>1</v>
      </c>
      <c r="J32" s="4" t="s">
        <v>81</v>
      </c>
      <c r="K32" s="5">
        <f>SUM(K33:K35)</f>
        <v>6</v>
      </c>
    </row>
    <row r="33" spans="1:60">
      <c r="C33" s="1"/>
      <c r="D33" s="8" t="s">
        <v>21</v>
      </c>
      <c r="E33" s="9">
        <v>2</v>
      </c>
      <c r="F33" s="1"/>
      <c r="J33" s="6" t="s">
        <v>82</v>
      </c>
      <c r="K33" s="7">
        <v>2</v>
      </c>
      <c r="L33" s="1"/>
      <c r="O33" s="1"/>
      <c r="P33" s="1"/>
      <c r="Q33" s="1"/>
      <c r="R33" s="1"/>
      <c r="U33" s="1"/>
    </row>
    <row r="34" spans="1:60">
      <c r="C34" s="1"/>
      <c r="D34" s="6" t="s">
        <v>25</v>
      </c>
      <c r="E34" s="7">
        <f>SUM(E35:E37)</f>
        <v>4</v>
      </c>
      <c r="F34" s="1"/>
      <c r="J34" s="6" t="s">
        <v>83</v>
      </c>
      <c r="K34" s="7">
        <v>2</v>
      </c>
      <c r="L34" s="1"/>
      <c r="O34" s="1"/>
      <c r="P34" s="1"/>
      <c r="Q34" s="1"/>
      <c r="R34" s="1"/>
      <c r="U34" s="1"/>
    </row>
    <row r="35" spans="1:60">
      <c r="D35" s="8" t="s">
        <v>22</v>
      </c>
      <c r="E35" s="9">
        <v>1</v>
      </c>
      <c r="J35" s="6" t="s">
        <v>62</v>
      </c>
      <c r="K35" s="7">
        <f>W7</f>
        <v>2</v>
      </c>
    </row>
    <row r="36" spans="1:60">
      <c r="D36" s="8" t="s">
        <v>13</v>
      </c>
      <c r="E36" s="9">
        <v>1</v>
      </c>
      <c r="J36" s="15" t="s">
        <v>58</v>
      </c>
      <c r="K36" s="16">
        <v>1</v>
      </c>
    </row>
    <row r="37" spans="1:60">
      <c r="D37" s="8" t="s">
        <v>21</v>
      </c>
      <c r="E37" s="9">
        <v>2</v>
      </c>
    </row>
    <row r="38" spans="1:60">
      <c r="D38" s="6" t="s">
        <v>29</v>
      </c>
      <c r="E38" s="7">
        <f>SUM(E39:E41)</f>
        <v>4</v>
      </c>
      <c r="G38" s="1"/>
      <c r="H38" s="1"/>
      <c r="M38" s="1"/>
      <c r="N38" s="1"/>
    </row>
    <row r="39" spans="1:60">
      <c r="D39" s="8" t="s">
        <v>23</v>
      </c>
      <c r="E39" s="9">
        <v>1</v>
      </c>
      <c r="G39" s="1"/>
      <c r="H39" s="1"/>
      <c r="M39" s="1"/>
      <c r="N39" s="1"/>
    </row>
    <row r="40" spans="1:60">
      <c r="D40" s="8" t="s">
        <v>13</v>
      </c>
      <c r="E40" s="9">
        <v>1</v>
      </c>
    </row>
    <row r="41" spans="1:60">
      <c r="D41" s="13" t="s">
        <v>21</v>
      </c>
      <c r="E41" s="12">
        <v>2</v>
      </c>
    </row>
    <row r="43" spans="1:60">
      <c r="BG43" s="3"/>
      <c r="BH43" s="3"/>
    </row>
    <row r="46" spans="1:60">
      <c r="A46" s="27"/>
      <c r="B46" s="27"/>
    </row>
    <row r="49" spans="1:20">
      <c r="A49" s="8"/>
      <c r="B49" s="9"/>
      <c r="S49" s="1"/>
      <c r="T49" s="1"/>
    </row>
    <row r="50" spans="1:20">
      <c r="S50" s="1"/>
      <c r="T50" s="1"/>
    </row>
    <row r="53" spans="1:20">
      <c r="A53" s="27"/>
      <c r="B53" s="27"/>
    </row>
    <row r="67" spans="1:2">
      <c r="A67" s="27"/>
      <c r="B67" s="27"/>
    </row>
    <row r="74" spans="1:2">
      <c r="A74" s="27"/>
      <c r="B74" s="27"/>
    </row>
    <row r="75" spans="1:2">
      <c r="A75" s="27"/>
      <c r="B75" s="27"/>
    </row>
    <row r="76" spans="1:2">
      <c r="A76" s="27"/>
      <c r="B76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tabSelected="1" topLeftCell="D1" workbookViewId="0">
      <selection activeCell="A31" sqref="A1:F31"/>
    </sheetView>
  </sheetViews>
  <sheetFormatPr defaultRowHeight="15"/>
  <cols>
    <col min="1" max="1" width="23.42578125" bestFit="1" customWidth="1"/>
    <col min="2" max="2" width="23.42578125" style="69" customWidth="1"/>
    <col min="3" max="3" width="16.28515625" bestFit="1" customWidth="1"/>
    <col min="4" max="4" width="13.85546875" bestFit="1" customWidth="1"/>
    <col min="5" max="5" width="18.5703125" bestFit="1" customWidth="1"/>
    <col min="6" max="6" width="15.85546875" bestFit="1" customWidth="1"/>
    <col min="7" max="7" width="2.85546875" customWidth="1"/>
    <col min="8" max="8" width="23.85546875" bestFit="1" customWidth="1"/>
    <col min="9" max="9" width="2.85546875" customWidth="1"/>
    <col min="10" max="10" width="52" bestFit="1" customWidth="1"/>
    <col min="11" max="11" width="9" bestFit="1" customWidth="1"/>
  </cols>
  <sheetData>
    <row r="1" spans="1:11">
      <c r="A1" s="35" t="s">
        <v>84</v>
      </c>
      <c r="B1" s="67"/>
      <c r="C1" s="36" t="s">
        <v>85</v>
      </c>
      <c r="D1" s="36" t="s">
        <v>86</v>
      </c>
      <c r="E1" s="37" t="s">
        <v>87</v>
      </c>
      <c r="F1" s="38"/>
      <c r="G1" s="8"/>
      <c r="H1" s="52" t="s">
        <v>176</v>
      </c>
      <c r="J1" s="33" t="s">
        <v>189</v>
      </c>
      <c r="K1" s="34"/>
    </row>
    <row r="2" spans="1:11" ht="30">
      <c r="A2" s="65" t="s">
        <v>242</v>
      </c>
      <c r="B2" s="68" t="s">
        <v>246</v>
      </c>
      <c r="C2" s="42" t="s">
        <v>93</v>
      </c>
      <c r="D2" s="46" t="s">
        <v>95</v>
      </c>
      <c r="E2" s="47" t="s">
        <v>99</v>
      </c>
      <c r="F2" s="51" t="s">
        <v>103</v>
      </c>
      <c r="G2" s="8"/>
      <c r="H2" s="25" t="s">
        <v>177</v>
      </c>
      <c r="J2" s="25" t="s">
        <v>190</v>
      </c>
      <c r="K2" s="25"/>
    </row>
    <row r="3" spans="1:11">
      <c r="A3" s="41" t="s">
        <v>88</v>
      </c>
      <c r="B3" s="68"/>
      <c r="C3" s="32" t="s">
        <v>172</v>
      </c>
      <c r="D3" s="63" t="s">
        <v>145</v>
      </c>
      <c r="E3" s="59" t="s">
        <v>122</v>
      </c>
      <c r="F3" s="60" t="s">
        <v>143</v>
      </c>
      <c r="G3" s="8"/>
      <c r="H3" s="25" t="s">
        <v>178</v>
      </c>
      <c r="J3" s="25" t="s">
        <v>191</v>
      </c>
      <c r="K3" s="25" t="s">
        <v>232</v>
      </c>
    </row>
    <row r="4" spans="1:11">
      <c r="A4" s="41" t="s">
        <v>89</v>
      </c>
      <c r="B4" s="68"/>
      <c r="C4" s="32" t="s">
        <v>173</v>
      </c>
      <c r="D4" s="63" t="s">
        <v>146</v>
      </c>
      <c r="E4" s="58" t="s">
        <v>123</v>
      </c>
      <c r="F4" s="60" t="s">
        <v>142</v>
      </c>
      <c r="G4" s="8"/>
      <c r="H4" s="25" t="s">
        <v>179</v>
      </c>
      <c r="J4" s="25" t="s">
        <v>192</v>
      </c>
      <c r="K4" s="25" t="s">
        <v>233</v>
      </c>
    </row>
    <row r="5" spans="1:11">
      <c r="A5" s="29" t="s">
        <v>108</v>
      </c>
      <c r="B5" s="68"/>
      <c r="C5" s="32" t="s">
        <v>174</v>
      </c>
      <c r="D5" s="63" t="s">
        <v>147</v>
      </c>
      <c r="E5" s="58" t="s">
        <v>124</v>
      </c>
      <c r="F5" s="60" t="s">
        <v>144</v>
      </c>
      <c r="G5" s="8"/>
      <c r="H5" s="25" t="s">
        <v>180</v>
      </c>
      <c r="J5" s="25" t="s">
        <v>193</v>
      </c>
      <c r="K5" s="25" t="s">
        <v>234</v>
      </c>
    </row>
    <row r="6" spans="1:11">
      <c r="A6" s="29" t="s">
        <v>109</v>
      </c>
      <c r="B6" s="68"/>
      <c r="C6" s="32" t="s">
        <v>175</v>
      </c>
      <c r="D6" s="63" t="s">
        <v>148</v>
      </c>
      <c r="E6" s="58" t="s">
        <v>125</v>
      </c>
      <c r="F6" s="41" t="s">
        <v>104</v>
      </c>
      <c r="G6" s="8"/>
      <c r="H6" s="25" t="s">
        <v>181</v>
      </c>
      <c r="J6" s="25" t="s">
        <v>194</v>
      </c>
      <c r="K6" s="25" t="s">
        <v>235</v>
      </c>
    </row>
    <row r="7" spans="1:11">
      <c r="A7" s="29" t="s">
        <v>110</v>
      </c>
      <c r="B7" s="68"/>
      <c r="C7" s="43" t="s">
        <v>94</v>
      </c>
      <c r="D7" s="44" t="s">
        <v>96</v>
      </c>
      <c r="E7" s="58" t="s">
        <v>126</v>
      </c>
      <c r="F7" s="61" t="s">
        <v>149</v>
      </c>
      <c r="G7" s="8"/>
      <c r="H7" s="25" t="s">
        <v>182</v>
      </c>
      <c r="J7" s="25" t="s">
        <v>195</v>
      </c>
      <c r="K7" s="25" t="s">
        <v>236</v>
      </c>
    </row>
    <row r="8" spans="1:11">
      <c r="A8" s="29" t="s">
        <v>111</v>
      </c>
      <c r="B8" s="68"/>
      <c r="C8" s="31"/>
      <c r="D8" s="44" t="s">
        <v>97</v>
      </c>
      <c r="E8" s="58" t="s">
        <v>127</v>
      </c>
      <c r="F8" s="61" t="s">
        <v>150</v>
      </c>
      <c r="G8" s="8"/>
      <c r="H8" s="25" t="s">
        <v>183</v>
      </c>
      <c r="J8" s="25" t="s">
        <v>196</v>
      </c>
      <c r="K8" s="25" t="s">
        <v>237</v>
      </c>
    </row>
    <row r="9" spans="1:11">
      <c r="A9" s="41" t="s">
        <v>90</v>
      </c>
      <c r="B9" s="68"/>
      <c r="C9" s="31"/>
      <c r="D9" s="45" t="s">
        <v>98</v>
      </c>
      <c r="E9" s="49" t="s">
        <v>102</v>
      </c>
      <c r="F9" s="61" t="s">
        <v>151</v>
      </c>
      <c r="G9" s="8"/>
      <c r="H9" s="25" t="s">
        <v>184</v>
      </c>
      <c r="J9" s="25" t="s">
        <v>197</v>
      </c>
      <c r="K9" s="25" t="s">
        <v>238</v>
      </c>
    </row>
    <row r="10" spans="1:11">
      <c r="A10" s="29" t="s">
        <v>112</v>
      </c>
      <c r="B10" s="68"/>
      <c r="C10" s="31"/>
      <c r="D10" s="31"/>
      <c r="E10" s="64" t="s">
        <v>128</v>
      </c>
      <c r="F10" s="41" t="s">
        <v>105</v>
      </c>
      <c r="G10" s="8"/>
      <c r="H10" s="25" t="s">
        <v>185</v>
      </c>
      <c r="J10" s="25" t="s">
        <v>198</v>
      </c>
      <c r="K10" s="25" t="s">
        <v>239</v>
      </c>
    </row>
    <row r="11" spans="1:11">
      <c r="A11" s="29" t="s">
        <v>113</v>
      </c>
      <c r="B11" s="68"/>
      <c r="C11" s="31"/>
      <c r="D11" s="31"/>
      <c r="E11" s="64" t="s">
        <v>129</v>
      </c>
      <c r="F11" s="61" t="s">
        <v>152</v>
      </c>
      <c r="G11" s="8"/>
      <c r="H11" s="25" t="s">
        <v>186</v>
      </c>
      <c r="J11" s="53" t="s">
        <v>203</v>
      </c>
      <c r="K11" s="25" t="str">
        <f>"/"</f>
        <v>/</v>
      </c>
    </row>
    <row r="12" spans="1:11">
      <c r="A12" s="66" t="s">
        <v>243</v>
      </c>
      <c r="B12" s="68"/>
      <c r="C12" s="31"/>
      <c r="D12" s="31"/>
      <c r="E12" s="64" t="s">
        <v>130</v>
      </c>
      <c r="F12" s="61" t="s">
        <v>153</v>
      </c>
      <c r="G12" s="8"/>
      <c r="H12" s="25" t="s">
        <v>187</v>
      </c>
      <c r="J12" s="53" t="s">
        <v>199</v>
      </c>
      <c r="K12" s="54" t="str">
        <f>"//"</f>
        <v>//</v>
      </c>
    </row>
    <row r="13" spans="1:11">
      <c r="A13" s="39" t="s">
        <v>91</v>
      </c>
      <c r="B13" s="68" t="s">
        <v>244</v>
      </c>
      <c r="C13" s="31"/>
      <c r="D13" s="31"/>
      <c r="E13" s="48" t="s">
        <v>100</v>
      </c>
      <c r="F13" s="61" t="s">
        <v>154</v>
      </c>
      <c r="G13" s="8"/>
      <c r="H13" s="25" t="s">
        <v>188</v>
      </c>
      <c r="J13" s="53" t="s">
        <v>200</v>
      </c>
      <c r="K13" s="54" t="str">
        <f>"///"</f>
        <v>///</v>
      </c>
    </row>
    <row r="14" spans="1:11">
      <c r="A14" s="30" t="s">
        <v>114</v>
      </c>
      <c r="B14" s="68"/>
      <c r="C14" s="31"/>
      <c r="D14" s="31"/>
      <c r="E14" s="57" t="s">
        <v>131</v>
      </c>
      <c r="F14" s="61" t="s">
        <v>155</v>
      </c>
      <c r="G14" s="8"/>
      <c r="J14" s="53" t="s">
        <v>201</v>
      </c>
      <c r="K14" s="54" t="str">
        <f>"////"</f>
        <v>////</v>
      </c>
    </row>
    <row r="15" spans="1:11">
      <c r="A15" s="30" t="s">
        <v>241</v>
      </c>
      <c r="B15" s="68"/>
      <c r="C15" s="31"/>
      <c r="D15" s="31"/>
      <c r="E15" s="57" t="s">
        <v>132</v>
      </c>
      <c r="F15" s="61" t="s">
        <v>156</v>
      </c>
      <c r="G15" s="8"/>
      <c r="J15" s="53" t="s">
        <v>202</v>
      </c>
      <c r="K15" s="54" t="str">
        <f>"/////"</f>
        <v>/////</v>
      </c>
    </row>
    <row r="16" spans="1:11">
      <c r="A16" s="55" t="s">
        <v>115</v>
      </c>
      <c r="B16" s="68"/>
      <c r="C16" s="31"/>
      <c r="D16" s="31"/>
      <c r="E16" s="57" t="s">
        <v>133</v>
      </c>
      <c r="F16" s="61" t="s">
        <v>157</v>
      </c>
      <c r="G16" s="8"/>
      <c r="J16" s="25" t="s">
        <v>204</v>
      </c>
      <c r="K16" s="25" t="s">
        <v>226</v>
      </c>
    </row>
    <row r="17" spans="1:11">
      <c r="A17" s="55" t="s">
        <v>116</v>
      </c>
      <c r="B17" s="68"/>
      <c r="C17" s="31"/>
      <c r="D17" s="31"/>
      <c r="E17" s="57" t="s">
        <v>134</v>
      </c>
      <c r="F17" s="61" t="s">
        <v>158</v>
      </c>
      <c r="G17" s="8"/>
      <c r="J17" s="25" t="s">
        <v>205</v>
      </c>
      <c r="K17" s="25" t="s">
        <v>227</v>
      </c>
    </row>
    <row r="18" spans="1:11">
      <c r="A18" s="55" t="s">
        <v>117</v>
      </c>
      <c r="B18" s="68"/>
      <c r="C18" s="31"/>
      <c r="D18" s="31"/>
      <c r="E18" s="47" t="s">
        <v>101</v>
      </c>
      <c r="F18" s="61" t="s">
        <v>159</v>
      </c>
      <c r="G18" s="8"/>
      <c r="J18" s="25" t="s">
        <v>206</v>
      </c>
      <c r="K18" s="25" t="s">
        <v>228</v>
      </c>
    </row>
    <row r="19" spans="1:11">
      <c r="A19" s="55" t="s">
        <v>118</v>
      </c>
      <c r="B19" s="68"/>
      <c r="C19" s="31"/>
      <c r="D19" s="31"/>
      <c r="E19" s="58" t="s">
        <v>135</v>
      </c>
      <c r="F19" s="41" t="s">
        <v>106</v>
      </c>
      <c r="G19" s="8"/>
      <c r="J19" s="25" t="s">
        <v>207</v>
      </c>
      <c r="K19" s="25" t="s">
        <v>229</v>
      </c>
    </row>
    <row r="20" spans="1:11">
      <c r="A20" s="55" t="s">
        <v>119</v>
      </c>
      <c r="B20" s="68"/>
      <c r="C20" s="31"/>
      <c r="D20" s="31"/>
      <c r="E20" s="58" t="s">
        <v>136</v>
      </c>
      <c r="F20" s="41" t="s">
        <v>107</v>
      </c>
      <c r="G20" s="8"/>
      <c r="J20" s="25" t="s">
        <v>208</v>
      </c>
      <c r="K20" s="25" t="s">
        <v>230</v>
      </c>
    </row>
    <row r="21" spans="1:11" ht="30">
      <c r="A21" s="40" t="s">
        <v>92</v>
      </c>
      <c r="B21" s="68" t="s">
        <v>245</v>
      </c>
      <c r="C21" s="31"/>
      <c r="D21" s="31"/>
      <c r="E21" s="58" t="s">
        <v>137</v>
      </c>
      <c r="F21" s="61" t="s">
        <v>161</v>
      </c>
      <c r="G21" s="8"/>
      <c r="J21" s="25" t="s">
        <v>209</v>
      </c>
      <c r="K21" s="25" t="s">
        <v>231</v>
      </c>
    </row>
    <row r="22" spans="1:11">
      <c r="A22" s="56" t="s">
        <v>120</v>
      </c>
      <c r="B22" s="68"/>
      <c r="C22" s="31"/>
      <c r="D22" s="31"/>
      <c r="E22" s="58" t="s">
        <v>138</v>
      </c>
      <c r="F22" s="62" t="s">
        <v>163</v>
      </c>
      <c r="G22" s="8"/>
      <c r="J22" s="53" t="s">
        <v>210</v>
      </c>
      <c r="K22" s="25" t="s">
        <v>218</v>
      </c>
    </row>
    <row r="23" spans="1:11">
      <c r="A23" s="56" t="s">
        <v>121</v>
      </c>
      <c r="B23" s="68"/>
      <c r="C23" s="31"/>
      <c r="D23" s="31"/>
      <c r="E23" s="58" t="s">
        <v>139</v>
      </c>
      <c r="F23" s="62" t="s">
        <v>164</v>
      </c>
      <c r="G23" s="8"/>
      <c r="J23" s="53" t="s">
        <v>211</v>
      </c>
      <c r="K23" s="25" t="s">
        <v>219</v>
      </c>
    </row>
    <row r="24" spans="1:11">
      <c r="C24" s="31"/>
      <c r="D24" s="31"/>
      <c r="E24" s="58" t="s">
        <v>140</v>
      </c>
      <c r="F24" s="62" t="s">
        <v>165</v>
      </c>
      <c r="G24" s="8"/>
      <c r="J24" s="53" t="s">
        <v>212</v>
      </c>
      <c r="K24" s="25" t="s">
        <v>220</v>
      </c>
    </row>
    <row r="25" spans="1:11">
      <c r="C25" s="31"/>
      <c r="D25" s="31"/>
      <c r="E25" s="58" t="s">
        <v>141</v>
      </c>
      <c r="F25" s="62" t="s">
        <v>166</v>
      </c>
      <c r="G25" s="8"/>
      <c r="J25" s="53" t="s">
        <v>213</v>
      </c>
      <c r="K25" s="25" t="s">
        <v>221</v>
      </c>
    </row>
    <row r="26" spans="1:11">
      <c r="C26" s="31"/>
      <c r="D26" s="31"/>
      <c r="E26" s="50" t="s">
        <v>160</v>
      </c>
      <c r="F26" s="62" t="s">
        <v>167</v>
      </c>
      <c r="G26" s="8"/>
      <c r="J26" s="25" t="s">
        <v>214</v>
      </c>
      <c r="K26" s="25" t="s">
        <v>222</v>
      </c>
    </row>
    <row r="27" spans="1:11">
      <c r="C27" s="31"/>
      <c r="D27" s="31"/>
      <c r="E27" s="8"/>
      <c r="F27" s="61" t="s">
        <v>162</v>
      </c>
      <c r="G27" s="8"/>
      <c r="J27" s="25" t="s">
        <v>215</v>
      </c>
      <c r="K27" s="25" t="s">
        <v>223</v>
      </c>
    </row>
    <row r="28" spans="1:11">
      <c r="C28" s="31"/>
      <c r="D28" s="31"/>
      <c r="E28" s="8"/>
      <c r="F28" s="61" t="s">
        <v>168</v>
      </c>
      <c r="G28" s="8"/>
      <c r="J28" s="25" t="s">
        <v>216</v>
      </c>
      <c r="K28" s="25" t="s">
        <v>224</v>
      </c>
    </row>
    <row r="29" spans="1:11">
      <c r="C29" s="31"/>
      <c r="D29" s="31"/>
      <c r="E29" s="8"/>
      <c r="F29" s="62" t="s">
        <v>169</v>
      </c>
      <c r="G29" s="8"/>
      <c r="J29" s="25" t="s">
        <v>217</v>
      </c>
      <c r="K29" s="25" t="s">
        <v>225</v>
      </c>
    </row>
    <row r="30" spans="1:11">
      <c r="C30" s="31"/>
      <c r="D30" s="31"/>
      <c r="E30" s="8"/>
      <c r="F30" s="62" t="s">
        <v>170</v>
      </c>
      <c r="G30" s="8"/>
    </row>
    <row r="31" spans="1:11">
      <c r="D31" s="31"/>
      <c r="E31" s="8"/>
      <c r="F31" s="62" t="s">
        <v>171</v>
      </c>
      <c r="G31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"/>
  <sheetViews>
    <sheetView workbookViewId="0"/>
  </sheetViews>
  <sheetFormatPr defaultRowHeight="15"/>
  <sheetData>
    <row r="2" spans="2:2">
      <c r="B2" t="s">
        <v>240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Fifth Column Designs,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jmadden</dc:creator>
  <cp:lastModifiedBy>jmadden</cp:lastModifiedBy>
  <cp:lastPrinted>2009-08-17T13:11:49Z</cp:lastPrinted>
  <dcterms:created xsi:type="dcterms:W3CDTF">2009-08-14T18:04:40Z</dcterms:created>
  <dcterms:modified xsi:type="dcterms:W3CDTF">2009-08-17T13:11:53Z</dcterms:modified>
</cp:coreProperties>
</file>