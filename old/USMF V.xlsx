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7230" windowHeight="8115" tabRatio="639" activeTab="2"/>
  </bookViews>
  <sheets>
    <sheet name="INFO" sheetId="1" r:id="rId1"/>
    <sheet name="PLT(-)" sheetId="5" r:id="rId2"/>
    <sheet name="CO" sheetId="4" r:id="rId3"/>
    <sheet name="BN" sheetId="3" r:id="rId4"/>
    <sheet name="BDE" sheetId="2" r:id="rId5"/>
  </sheets>
  <calcPr calcId="125725"/>
</workbook>
</file>

<file path=xl/calcChain.xml><?xml version="1.0" encoding="utf-8"?>
<calcChain xmlns="http://schemas.openxmlformats.org/spreadsheetml/2006/main">
  <c r="B5" i="5"/>
  <c r="H30" i="4"/>
  <c r="E23" i="5"/>
  <c r="E31"/>
  <c r="E30"/>
  <c r="E29"/>
  <c r="E28"/>
  <c r="E27"/>
  <c r="E26"/>
  <c r="E25"/>
  <c r="E24"/>
  <c r="E1048576"/>
  <c r="E19"/>
  <c r="E18"/>
  <c r="B4" s="1"/>
  <c r="H29" i="4" s="1"/>
  <c r="H26" s="1"/>
  <c r="B26" s="1"/>
  <c r="H11" i="3" s="1"/>
  <c r="E21" i="5"/>
  <c r="E20"/>
  <c r="H28" i="4"/>
  <c r="B3" i="5"/>
  <c r="E13"/>
  <c r="E16"/>
  <c r="E15"/>
  <c r="E14"/>
  <c r="H27" i="4"/>
  <c r="B2" i="5"/>
  <c r="E7"/>
  <c r="E11"/>
  <c r="E10"/>
  <c r="E9"/>
  <c r="E8"/>
  <c r="E74" i="4"/>
  <c r="H34"/>
  <c r="H43"/>
  <c r="H42"/>
  <c r="H41"/>
  <c r="H40"/>
  <c r="H39"/>
  <c r="H38" s="1"/>
  <c r="B29" s="1"/>
  <c r="H13" i="3" s="1"/>
  <c r="H36" i="4"/>
  <c r="H35"/>
  <c r="H33"/>
  <c r="H16"/>
  <c r="H15"/>
  <c r="H14"/>
  <c r="H13"/>
  <c r="H12"/>
  <c r="H11"/>
  <c r="H10"/>
  <c r="B3" i="3"/>
  <c r="E14" i="2" s="1"/>
  <c r="E48" i="3"/>
  <c r="E39"/>
  <c r="E26"/>
  <c r="E20"/>
  <c r="E19"/>
  <c r="E10"/>
  <c r="I1" i="1"/>
  <c r="I6" s="1"/>
  <c r="I4" s="1"/>
  <c r="I10" s="1"/>
  <c r="H32" i="4" l="1"/>
  <c r="B28" s="1"/>
  <c r="H12" i="3" s="1"/>
  <c r="H9" i="4"/>
  <c r="H10" i="3" s="1"/>
  <c r="E4" i="5"/>
  <c r="E5"/>
  <c r="E7" i="2"/>
  <c r="I11" i="1"/>
  <c r="I7" s="1"/>
  <c r="B27" i="4" l="1"/>
  <c r="E1" i="5"/>
  <c r="B1" s="1"/>
  <c r="E146" i="4"/>
  <c r="E150"/>
  <c r="E154"/>
  <c r="E158"/>
  <c r="E160"/>
  <c r="E143"/>
  <c r="E139"/>
  <c r="E135"/>
  <c r="E128"/>
  <c r="E130"/>
  <c r="E122"/>
  <c r="E124"/>
  <c r="E116"/>
  <c r="E118"/>
  <c r="E107"/>
  <c r="E109"/>
  <c r="E111"/>
  <c r="E98"/>
  <c r="E100"/>
  <c r="E102"/>
  <c r="E104"/>
  <c r="E92"/>
  <c r="E94"/>
  <c r="E86"/>
  <c r="E88"/>
  <c r="E79"/>
  <c r="E81"/>
  <c r="E83"/>
  <c r="E69"/>
  <c r="E71"/>
  <c r="E73"/>
  <c r="E62"/>
  <c r="E64"/>
  <c r="E55"/>
  <c r="E57"/>
  <c r="E59"/>
  <c r="E47"/>
  <c r="E49"/>
  <c r="E51"/>
  <c r="E24"/>
  <c r="E22"/>
  <c r="E20"/>
  <c r="E39"/>
  <c r="E34"/>
  <c r="E29"/>
  <c r="E27"/>
  <c r="E13"/>
  <c r="E11"/>
  <c r="E5"/>
  <c r="E7"/>
  <c r="E147"/>
  <c r="E151"/>
  <c r="E155"/>
  <c r="E159"/>
  <c r="E142"/>
  <c r="E138"/>
  <c r="E134"/>
  <c r="E127"/>
  <c r="E129"/>
  <c r="E131"/>
  <c r="E123"/>
  <c r="E115"/>
  <c r="E117"/>
  <c r="E119"/>
  <c r="E108"/>
  <c r="E110"/>
  <c r="E112"/>
  <c r="E99"/>
  <c r="E101"/>
  <c r="E103"/>
  <c r="E91"/>
  <c r="E93"/>
  <c r="E95"/>
  <c r="E87"/>
  <c r="E78"/>
  <c r="E80"/>
  <c r="E82"/>
  <c r="E68"/>
  <c r="E70"/>
  <c r="E72"/>
  <c r="E75"/>
  <c r="E63"/>
  <c r="E65"/>
  <c r="E56"/>
  <c r="E58"/>
  <c r="E46"/>
  <c r="E48"/>
  <c r="E50"/>
  <c r="E52"/>
  <c r="E23"/>
  <c r="E21"/>
  <c r="E19"/>
  <c r="E40"/>
  <c r="E33"/>
  <c r="E32" s="1"/>
  <c r="E28"/>
  <c r="E14"/>
  <c r="E12"/>
  <c r="E10"/>
  <c r="E6"/>
  <c r="I17" i="1"/>
  <c r="I16"/>
  <c r="E9" i="4" l="1"/>
  <c r="B2" s="1"/>
  <c r="E5" i="3" s="1"/>
  <c r="E18" i="4"/>
  <c r="E137"/>
  <c r="E45" i="3" s="1"/>
  <c r="E12"/>
  <c r="B25" i="4"/>
  <c r="E26"/>
  <c r="E11" i="3" s="1"/>
  <c r="E45" i="4"/>
  <c r="E67"/>
  <c r="E114"/>
  <c r="E126"/>
  <c r="E54"/>
  <c r="E77"/>
  <c r="E90"/>
  <c r="E133"/>
  <c r="E141"/>
  <c r="E1"/>
  <c r="B1" s="1"/>
  <c r="E6" i="3" s="1"/>
  <c r="E38" i="4"/>
  <c r="E106"/>
  <c r="E121"/>
  <c r="E153"/>
  <c r="E145"/>
  <c r="E61"/>
  <c r="E85"/>
  <c r="E97"/>
  <c r="E157"/>
  <c r="E149"/>
  <c r="I12" i="1"/>
  <c r="B19" i="4" l="1"/>
  <c r="H36" i="3" s="1"/>
  <c r="H20"/>
  <c r="H26"/>
  <c r="H19"/>
  <c r="E14"/>
  <c r="B3" i="4"/>
  <c r="H21" i="3" s="1"/>
  <c r="B4" i="4"/>
  <c r="E15" i="3"/>
  <c r="B6" i="4"/>
  <c r="E30" i="3"/>
  <c r="B13" i="4"/>
  <c r="H30" i="3" s="1"/>
  <c r="B8" i="4"/>
  <c r="H22" i="3" s="1"/>
  <c r="E21"/>
  <c r="E52"/>
  <c r="B23" i="4"/>
  <c r="E40" i="3"/>
  <c r="B14" i="4"/>
  <c r="H31" i="3" s="1"/>
  <c r="E44"/>
  <c r="B18" i="4"/>
  <c r="H35" i="3" s="1"/>
  <c r="E27"/>
  <c r="B10" i="4"/>
  <c r="H27" i="3" s="1"/>
  <c r="B7" i="4"/>
  <c r="E16" i="3"/>
  <c r="E41"/>
  <c r="B15" i="4"/>
  <c r="H32" i="3" s="1"/>
  <c r="E53"/>
  <c r="B24" i="4"/>
  <c r="B11"/>
  <c r="H28" i="3" s="1"/>
  <c r="E28"/>
  <c r="E50"/>
  <c r="B21" i="4"/>
  <c r="E42" i="3"/>
  <c r="B16" i="4"/>
  <c r="H33" i="3" s="1"/>
  <c r="E13"/>
  <c r="B5" i="4"/>
  <c r="E49" i="3"/>
  <c r="B20" i="4"/>
  <c r="B12"/>
  <c r="H29" i="3" s="1"/>
  <c r="E29"/>
  <c r="E43"/>
  <c r="B17" i="4"/>
  <c r="H34" i="3" s="1"/>
  <c r="E22"/>
  <c r="B9" i="4"/>
  <c r="E51" i="3"/>
  <c r="B22" i="4"/>
  <c r="I24" i="1"/>
  <c r="I23"/>
  <c r="I22"/>
  <c r="H25" i="3" l="1"/>
  <c r="E7"/>
  <c r="E1" s="1"/>
  <c r="B1" s="1"/>
  <c r="H14"/>
  <c r="H9" s="1"/>
  <c r="H23"/>
  <c r="H18" s="1"/>
  <c r="E9"/>
  <c r="B6" s="1"/>
  <c r="E11" i="2" s="1"/>
  <c r="E47" i="3"/>
  <c r="B5" s="1"/>
  <c r="E13" i="2" s="1"/>
  <c r="E38" i="3"/>
  <c r="B4" s="1"/>
  <c r="E12" i="2" s="1"/>
  <c r="E18" i="3"/>
  <c r="B2" s="1"/>
  <c r="E5" i="2" s="1"/>
  <c r="I18" i="1"/>
  <c r="E6" i="2" l="1"/>
  <c r="E1" s="1"/>
  <c r="B1" s="1"/>
  <c r="I48" i="1"/>
  <c r="I42"/>
  <c r="E17" i="2"/>
  <c r="B8" i="3"/>
  <c r="E18" i="2"/>
  <c r="B7" i="3"/>
  <c r="E19" i="2"/>
  <c r="B9" i="3"/>
  <c r="E16" i="2"/>
  <c r="B3" s="1"/>
  <c r="I31" i="1"/>
  <c r="E10" i="2"/>
  <c r="E9" s="1"/>
  <c r="B2" s="1"/>
  <c r="I36" i="1"/>
  <c r="I30"/>
  <c r="I29"/>
  <c r="I25" l="1"/>
  <c r="I37" s="1"/>
  <c r="I32" s="1"/>
  <c r="I43" s="1"/>
  <c r="I38" s="1"/>
  <c r="I49" s="1"/>
  <c r="I44" s="1"/>
</calcChain>
</file>

<file path=xl/sharedStrings.xml><?xml version="1.0" encoding="utf-8"?>
<sst xmlns="http://schemas.openxmlformats.org/spreadsheetml/2006/main" count="407" uniqueCount="259">
  <si>
    <t>Infantry</t>
  </si>
  <si>
    <t>Cavalry</t>
  </si>
  <si>
    <t>Artillery</t>
  </si>
  <si>
    <t>Combat Support</t>
  </si>
  <si>
    <t>AMD</t>
  </si>
  <si>
    <t>Engineers</t>
  </si>
  <si>
    <t>CBRNE</t>
  </si>
  <si>
    <t>MP</t>
  </si>
  <si>
    <t>CA</t>
  </si>
  <si>
    <t>PSYOPS</t>
  </si>
  <si>
    <t>Sustainment</t>
  </si>
  <si>
    <t>Supply</t>
  </si>
  <si>
    <t>Maintenance</t>
  </si>
  <si>
    <t>Medical</t>
  </si>
  <si>
    <t>Transportation</t>
  </si>
  <si>
    <t>Field Services</t>
  </si>
  <si>
    <t>Administration</t>
  </si>
  <si>
    <t>C4I</t>
  </si>
  <si>
    <t>Command</t>
  </si>
  <si>
    <t>Staff</t>
  </si>
  <si>
    <t>Command Post</t>
  </si>
  <si>
    <t>Commo and IS</t>
  </si>
  <si>
    <t>ISR</t>
  </si>
  <si>
    <t>Reconnaissance</t>
  </si>
  <si>
    <t>HUMINT</t>
  </si>
  <si>
    <t>ISR-UAV</t>
  </si>
  <si>
    <t>MASINT</t>
  </si>
  <si>
    <t>SIGINT/ELINT</t>
  </si>
  <si>
    <t>2LT</t>
  </si>
  <si>
    <t>CPLT</t>
  </si>
  <si>
    <t>SGT</t>
  </si>
  <si>
    <t>CPT</t>
  </si>
  <si>
    <t>LTC</t>
  </si>
  <si>
    <t>COL</t>
  </si>
  <si>
    <t>MG</t>
  </si>
  <si>
    <t>LTG</t>
  </si>
  <si>
    <t>GEN</t>
  </si>
  <si>
    <t>Battery (BTRY)</t>
  </si>
  <si>
    <t>Troop (TRP)</t>
  </si>
  <si>
    <t>Company (CO)</t>
  </si>
  <si>
    <t>Battalion (BN)</t>
  </si>
  <si>
    <t>Brigade (BDE)</t>
  </si>
  <si>
    <t>Division (DIV)</t>
  </si>
  <si>
    <t>Corps (CORPS)</t>
  </si>
  <si>
    <t>Army (ARMY)</t>
  </si>
  <si>
    <t>Platoon (PLT)</t>
  </si>
  <si>
    <t>Squad (SQD)</t>
  </si>
  <si>
    <t>Team (TM)</t>
  </si>
  <si>
    <t>Squadron (SQ)</t>
  </si>
  <si>
    <t>Regiment (REGT)</t>
  </si>
  <si>
    <t>SBN</t>
  </si>
  <si>
    <t>3x PAX</t>
  </si>
  <si>
    <t>TM LDR</t>
  </si>
  <si>
    <t>SQD LDR</t>
  </si>
  <si>
    <t>3x TM</t>
  </si>
  <si>
    <t>TM A</t>
  </si>
  <si>
    <t>SQD A</t>
  </si>
  <si>
    <t>PLT A</t>
  </si>
  <si>
    <t>PLT LDR</t>
  </si>
  <si>
    <t>PLT SGT</t>
  </si>
  <si>
    <t>3x SQD</t>
  </si>
  <si>
    <t>HQ SQD</t>
  </si>
  <si>
    <t>CO A</t>
  </si>
  <si>
    <t>CO CDR</t>
  </si>
  <si>
    <t>CO XO</t>
  </si>
  <si>
    <t>CO 1SG</t>
  </si>
  <si>
    <t>HQ PLT</t>
  </si>
  <si>
    <t>3x PLT</t>
  </si>
  <si>
    <t>BN A</t>
  </si>
  <si>
    <t>BN CDR</t>
  </si>
  <si>
    <t>BN XO</t>
  </si>
  <si>
    <t>BN CSM</t>
  </si>
  <si>
    <t>BN HQ CO</t>
  </si>
  <si>
    <t>3x CO</t>
  </si>
  <si>
    <t>BDE A</t>
  </si>
  <si>
    <t>BDE CDR</t>
  </si>
  <si>
    <t>BDE DCO</t>
  </si>
  <si>
    <t>BDE CSM</t>
  </si>
  <si>
    <t>3x BN</t>
  </si>
  <si>
    <t>DIV A</t>
  </si>
  <si>
    <t>DIV CG</t>
  </si>
  <si>
    <t>DIV DCG</t>
  </si>
  <si>
    <t>DIV CSM</t>
  </si>
  <si>
    <t>DSTB</t>
  </si>
  <si>
    <t>3x BDE</t>
  </si>
  <si>
    <t>Combat (CBT)</t>
  </si>
  <si>
    <t>HQ BN</t>
  </si>
  <si>
    <t>3x CBN</t>
  </si>
  <si>
    <t>CSBN</t>
  </si>
  <si>
    <t>HQ BN A</t>
  </si>
  <si>
    <t>CBN A</t>
  </si>
  <si>
    <t>HQ CO A</t>
  </si>
  <si>
    <t>BN HQ CO A</t>
  </si>
  <si>
    <t>3x INF CO</t>
  </si>
  <si>
    <t>CAV TRP</t>
  </si>
  <si>
    <t>FA BTRY</t>
  </si>
  <si>
    <t>CS CO</t>
  </si>
  <si>
    <t>SUS CO</t>
  </si>
  <si>
    <t>ISR CO</t>
  </si>
  <si>
    <t>SPT CO</t>
  </si>
  <si>
    <t>SPT BN</t>
  </si>
  <si>
    <t>CSBN A</t>
  </si>
  <si>
    <t>SBN A</t>
  </si>
  <si>
    <t>SPLY CO A</t>
  </si>
  <si>
    <t>MAINT CO A</t>
  </si>
  <si>
    <t>MED CO A</t>
  </si>
  <si>
    <t>FLD SPT CO A</t>
  </si>
  <si>
    <t>CMD PLT</t>
  </si>
  <si>
    <t>STAFF PLT</t>
  </si>
  <si>
    <t>ADMIN PLT</t>
  </si>
  <si>
    <t>COMMO PLT</t>
  </si>
  <si>
    <t>BN CP PLT</t>
  </si>
  <si>
    <t>INF CO A</t>
  </si>
  <si>
    <t>INF CO HQ PLT</t>
  </si>
  <si>
    <t>3x INF PLT</t>
  </si>
  <si>
    <t>WPNS PLT</t>
  </si>
  <si>
    <t>CAV TRP HQ PLT</t>
  </si>
  <si>
    <t>3x CAV PLT</t>
  </si>
  <si>
    <t>IDF PLT</t>
  </si>
  <si>
    <t>RECON PLT</t>
  </si>
  <si>
    <t>HUMINT PLT</t>
  </si>
  <si>
    <t>SIGINT PLT</t>
  </si>
  <si>
    <t>ISR-UAV PLT</t>
  </si>
  <si>
    <t>MASINT PLT</t>
  </si>
  <si>
    <t>AMD PLT</t>
  </si>
  <si>
    <t>ENG PLT</t>
  </si>
  <si>
    <t>CBRNE PLT</t>
  </si>
  <si>
    <t>MP PLT</t>
  </si>
  <si>
    <t>CA PLT</t>
  </si>
  <si>
    <t>PSYOPS PLT</t>
  </si>
  <si>
    <t>SPLY PLT</t>
  </si>
  <si>
    <t>MAINT PLT</t>
  </si>
  <si>
    <t>MED PLT</t>
  </si>
  <si>
    <t>FLD SVC PLT</t>
  </si>
  <si>
    <t>SIG CO A</t>
  </si>
  <si>
    <t>SYS PLT</t>
  </si>
  <si>
    <t>NET PLT</t>
  </si>
  <si>
    <t>INFRA PLT</t>
  </si>
  <si>
    <t>FLD SPT PLT</t>
  </si>
  <si>
    <t>HQ CO A (BN HQ)</t>
  </si>
  <si>
    <t>HQ CO A (BDE HQ)</t>
  </si>
  <si>
    <t>SIG CO A (BDE SIG)</t>
  </si>
  <si>
    <t>SPT CO A (BN SPT)</t>
  </si>
  <si>
    <t>SPT CO A</t>
  </si>
  <si>
    <t>CAV TRP A</t>
  </si>
  <si>
    <t>FA BTRY A</t>
  </si>
  <si>
    <t>ISR CO A</t>
  </si>
  <si>
    <t>CS CO A</t>
  </si>
  <si>
    <t>SUS CO A</t>
  </si>
  <si>
    <t>CL I SPLY PLT</t>
  </si>
  <si>
    <t>CL IIIB SPLY PLT</t>
  </si>
  <si>
    <t>CL W SPLY PLT</t>
  </si>
  <si>
    <t>CL V SPLY PLT</t>
  </si>
  <si>
    <t>RECVY PLT</t>
  </si>
  <si>
    <t>REP PLT</t>
  </si>
  <si>
    <t>MEDIC PLT</t>
  </si>
  <si>
    <t>EVAC PLT</t>
  </si>
  <si>
    <t>TMNT PLT</t>
  </si>
  <si>
    <t>SURG PLT</t>
  </si>
  <si>
    <t>CL II/IIIP/IV/VI/VII/VIII/IX/X SPLY PLT</t>
  </si>
  <si>
    <t>BASE OPS PLT</t>
  </si>
  <si>
    <t>FIELD SAN PLT</t>
  </si>
  <si>
    <t>FOOD SVC PLT</t>
  </si>
  <si>
    <t>MWR PLT</t>
  </si>
  <si>
    <t>HSNG PLT</t>
  </si>
  <si>
    <t>ENG CO A</t>
  </si>
  <si>
    <t>AMD CO A</t>
  </si>
  <si>
    <t>CBRNE CO A</t>
  </si>
  <si>
    <t>MP CO A</t>
  </si>
  <si>
    <t>CA CO A</t>
  </si>
  <si>
    <t>PSYOPS CO A</t>
  </si>
  <si>
    <t>CBT ENG PLT</t>
  </si>
  <si>
    <t>HORIZ CONSTR PLT</t>
  </si>
  <si>
    <t>VERT CONSTR PLT</t>
  </si>
  <si>
    <t>BRIDGE PLT</t>
  </si>
  <si>
    <t>ENG MAT PLT</t>
  </si>
  <si>
    <t>AMD BTRY A</t>
  </si>
  <si>
    <t>SHORAD PLT</t>
  </si>
  <si>
    <t>C4I PLT</t>
  </si>
  <si>
    <t>MEAD PLT</t>
  </si>
  <si>
    <t>PD PLT</t>
  </si>
  <si>
    <t>EOD PLT</t>
  </si>
  <si>
    <t>NBCT PLT</t>
  </si>
  <si>
    <t>DET OPS PLT</t>
  </si>
  <si>
    <t>ESCORT PLT</t>
  </si>
  <si>
    <t>SECTY PLT</t>
  </si>
  <si>
    <t>L&amp;O PLT</t>
  </si>
  <si>
    <t>TAC CA PLT</t>
  </si>
  <si>
    <t>TAC PSY PLT</t>
  </si>
  <si>
    <t>ISRBN A</t>
  </si>
  <si>
    <t>RECON CO</t>
  </si>
  <si>
    <t>HUMINT CO</t>
  </si>
  <si>
    <t>SIGINT CO</t>
  </si>
  <si>
    <t>MASINT CO</t>
  </si>
  <si>
    <t>UAV CO</t>
  </si>
  <si>
    <t>RECON CO A</t>
  </si>
  <si>
    <t>3x RECON PLT</t>
  </si>
  <si>
    <t>HUMINT CO A</t>
  </si>
  <si>
    <t>3x GS HUMINT PLT</t>
  </si>
  <si>
    <t>SIGINT CO A</t>
  </si>
  <si>
    <t>3x GS SIGINT PLT</t>
  </si>
  <si>
    <t>MASINT CO A</t>
  </si>
  <si>
    <t>3x GS MASINT PLT</t>
  </si>
  <si>
    <t>UAV CO A</t>
  </si>
  <si>
    <t>3x GS SUAV PLT</t>
  </si>
  <si>
    <t>1x GS MUAV PLT</t>
  </si>
  <si>
    <t>SPT PLT</t>
  </si>
  <si>
    <t xml:space="preserve">MASINT CO A </t>
  </si>
  <si>
    <t>ISR BN A</t>
  </si>
  <si>
    <t>CS BN A</t>
  </si>
  <si>
    <t>S BN A</t>
  </si>
  <si>
    <t>CBT BDE A</t>
  </si>
  <si>
    <t>CBT BN A</t>
  </si>
  <si>
    <t>CBT BDE B</t>
  </si>
  <si>
    <t>SPT BN B</t>
  </si>
  <si>
    <t>3x CBT BN B</t>
  </si>
  <si>
    <t>HQ BN B</t>
  </si>
  <si>
    <t>SIG CO</t>
  </si>
  <si>
    <t>CBT BN B</t>
  </si>
  <si>
    <t>HQ CO A (BN)</t>
  </si>
  <si>
    <t>HQ CO A (BDE)</t>
  </si>
  <si>
    <t>HQ CO B</t>
  </si>
  <si>
    <t>ISR PLT</t>
  </si>
  <si>
    <t>CORPS A</t>
  </si>
  <si>
    <t>CORPS CG</t>
  </si>
  <si>
    <t>CORPS DCG</t>
  </si>
  <si>
    <t>CORPS CSM</t>
  </si>
  <si>
    <t>3x DIV</t>
  </si>
  <si>
    <t>ARMY A</t>
  </si>
  <si>
    <t>ARMY CG</t>
  </si>
  <si>
    <t>ARMY DCG</t>
  </si>
  <si>
    <t>ARMY CSM</t>
  </si>
  <si>
    <t>3x CORPS</t>
  </si>
  <si>
    <t>INF CO B</t>
  </si>
  <si>
    <t xml:space="preserve">3x INF PLT </t>
  </si>
  <si>
    <t>3x INF CO B</t>
  </si>
  <si>
    <t>CAV TRP B</t>
  </si>
  <si>
    <t>A-UGV PLT</t>
  </si>
  <si>
    <t>FA BTRY B</t>
  </si>
  <si>
    <t>IW/EW PLT</t>
  </si>
  <si>
    <t>HQ PLT A</t>
  </si>
  <si>
    <t>CMD SQD</t>
  </si>
  <si>
    <t>STAFF SQD</t>
  </si>
  <si>
    <t>CP SQD</t>
  </si>
  <si>
    <t>ISR SQD</t>
  </si>
  <si>
    <t>INF PLT A</t>
  </si>
  <si>
    <t>WPNS SQD</t>
  </si>
  <si>
    <t>3x INF SQD</t>
  </si>
  <si>
    <t>INF WPNS PLT A</t>
  </si>
  <si>
    <t>MSL SQD</t>
  </si>
  <si>
    <t>MORT SQD</t>
  </si>
  <si>
    <t>SPT PLT A</t>
  </si>
  <si>
    <t>SPLY SQD</t>
  </si>
  <si>
    <t>MAINT SQD</t>
  </si>
  <si>
    <t>MED SQD</t>
  </si>
  <si>
    <t>ENG SQD</t>
  </si>
  <si>
    <t>AMD SQD</t>
  </si>
  <si>
    <t>CBRNE SQD</t>
  </si>
  <si>
    <t>MP SQD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</si>
</sst>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zoomScale="70" zoomScaleNormal="70" workbookViewId="0">
      <selection activeCell="D1" sqref="D1"/>
    </sheetView>
  </sheetViews>
  <sheetFormatPr defaultRowHeight="15"/>
  <cols>
    <col min="1" max="1" width="17.85546875" bestFit="1" customWidth="1"/>
    <col min="2" max="2" width="2.85546875" customWidth="1"/>
    <col min="3" max="3" width="15.42578125" bestFit="1" customWidth="1"/>
    <col min="4" max="4" width="16.7109375" bestFit="1" customWidth="1"/>
    <col min="5" max="5" width="14.5703125" bestFit="1" customWidth="1"/>
    <col min="6" max="6" width="6.42578125" bestFit="1" customWidth="1"/>
    <col min="7" max="7" width="2.85546875" customWidth="1"/>
    <col min="8" max="8" width="13.140625" bestFit="1" customWidth="1"/>
    <col min="9" max="9" width="9.140625" bestFit="1" customWidth="1"/>
    <col min="10" max="10" width="2.85546875" customWidth="1"/>
    <col min="11" max="11" width="17.42578125" bestFit="1" customWidth="1"/>
    <col min="12" max="12" width="6.7109375" bestFit="1" customWidth="1"/>
    <col min="13" max="13" width="2.85546875" customWidth="1"/>
    <col min="14" max="14" width="34.140625" bestFit="1" customWidth="1"/>
    <col min="15" max="15" width="5.85546875" bestFit="1" customWidth="1"/>
    <col min="16" max="16" width="2.85546875" customWidth="1"/>
    <col min="17" max="17" width="17" bestFit="1" customWidth="1"/>
    <col min="18" max="18" width="8.5703125" bestFit="1" customWidth="1"/>
    <col min="19" max="19" width="2.85546875" customWidth="1"/>
    <col min="20" max="20" width="15.140625" bestFit="1" customWidth="1"/>
    <col min="21" max="21" width="5.5703125" bestFit="1" customWidth="1"/>
    <col min="22" max="22" width="2.85546875" customWidth="1"/>
    <col min="23" max="23" width="16.140625" bestFit="1" customWidth="1"/>
    <col min="24" max="24" width="5.85546875" bestFit="1" customWidth="1"/>
    <col min="25" max="25" width="2.85546875" customWidth="1"/>
    <col min="26" max="26" width="15.28515625" bestFit="1" customWidth="1"/>
    <col min="27" max="27" width="5.85546875" bestFit="1" customWidth="1"/>
    <col min="28" max="28" width="2.85546875" customWidth="1"/>
    <col min="29" max="29" width="12.42578125" bestFit="1" customWidth="1"/>
    <col min="30" max="30" width="4.42578125" bestFit="1" customWidth="1"/>
    <col min="31" max="31" width="2.85546875" customWidth="1"/>
    <col min="32" max="32" width="11.42578125" bestFit="1" customWidth="1"/>
    <col min="33" max="33" width="4.42578125" bestFit="1" customWidth="1"/>
  </cols>
  <sheetData>
    <row r="1" spans="1:9">
      <c r="A1" s="4" t="s">
        <v>85</v>
      </c>
      <c r="C1" s="4" t="s">
        <v>47</v>
      </c>
      <c r="D1" s="4"/>
      <c r="E1" s="4"/>
      <c r="F1" s="4" t="s">
        <v>29</v>
      </c>
      <c r="H1" s="8" t="s">
        <v>55</v>
      </c>
      <c r="I1" s="8">
        <f>SUM(I2:I3)</f>
        <v>4</v>
      </c>
    </row>
    <row r="2" spans="1:9">
      <c r="A2" s="5" t="s">
        <v>0</v>
      </c>
      <c r="B2" s="1"/>
      <c r="C2" s="4" t="s">
        <v>46</v>
      </c>
      <c r="D2" s="4"/>
      <c r="E2" s="4"/>
      <c r="F2" s="4" t="s">
        <v>30</v>
      </c>
      <c r="H2" s="4" t="s">
        <v>52</v>
      </c>
      <c r="I2" s="4">
        <v>1</v>
      </c>
    </row>
    <row r="3" spans="1:9">
      <c r="A3" s="5" t="s">
        <v>1</v>
      </c>
      <c r="B3" s="1"/>
      <c r="C3" s="4" t="s">
        <v>45</v>
      </c>
      <c r="D3" s="4"/>
      <c r="E3" s="4"/>
      <c r="F3" s="4" t="s">
        <v>28</v>
      </c>
      <c r="H3" s="4" t="s">
        <v>51</v>
      </c>
      <c r="I3" s="4">
        <v>3</v>
      </c>
    </row>
    <row r="4" spans="1:9">
      <c r="A4" s="5" t="s">
        <v>2</v>
      </c>
      <c r="B4" s="1"/>
      <c r="C4" s="4" t="s">
        <v>39</v>
      </c>
      <c r="D4" s="4" t="s">
        <v>38</v>
      </c>
      <c r="E4" s="4" t="s">
        <v>37</v>
      </c>
      <c r="F4" s="4" t="s">
        <v>31</v>
      </c>
      <c r="H4" s="8" t="s">
        <v>56</v>
      </c>
      <c r="I4" s="8">
        <f>SUM(I5:I6)</f>
        <v>13</v>
      </c>
    </row>
    <row r="5" spans="1:9">
      <c r="A5" s="6" t="s">
        <v>3</v>
      </c>
      <c r="B5" s="2"/>
      <c r="C5" s="4" t="s">
        <v>40</v>
      </c>
      <c r="D5" s="4" t="s">
        <v>48</v>
      </c>
      <c r="E5" s="4"/>
      <c r="F5" s="4" t="s">
        <v>32</v>
      </c>
      <c r="H5" s="4" t="s">
        <v>53</v>
      </c>
      <c r="I5" s="4">
        <v>1</v>
      </c>
    </row>
    <row r="6" spans="1:9">
      <c r="A6" s="5" t="s">
        <v>4</v>
      </c>
      <c r="B6" s="1"/>
      <c r="C6" s="4" t="s">
        <v>41</v>
      </c>
      <c r="D6" s="4" t="s">
        <v>49</v>
      </c>
      <c r="E6" s="4"/>
      <c r="F6" s="4" t="s">
        <v>33</v>
      </c>
      <c r="H6" s="4" t="s">
        <v>54</v>
      </c>
      <c r="I6" s="4">
        <f>I1*3</f>
        <v>12</v>
      </c>
    </row>
    <row r="7" spans="1:9">
      <c r="A7" s="5" t="s">
        <v>5</v>
      </c>
      <c r="B7" s="1"/>
      <c r="C7" s="4" t="s">
        <v>42</v>
      </c>
      <c r="D7" s="4"/>
      <c r="E7" s="4"/>
      <c r="F7" s="4" t="s">
        <v>34</v>
      </c>
      <c r="H7" s="8" t="s">
        <v>57</v>
      </c>
      <c r="I7" s="8">
        <f>SUM(I8:I11)</f>
        <v>54</v>
      </c>
    </row>
    <row r="8" spans="1:9">
      <c r="A8" s="5" t="s">
        <v>6</v>
      </c>
      <c r="B8" s="1"/>
      <c r="C8" s="4" t="s">
        <v>43</v>
      </c>
      <c r="D8" s="4"/>
      <c r="E8" s="4"/>
      <c r="F8" s="4" t="s">
        <v>35</v>
      </c>
      <c r="H8" s="4" t="s">
        <v>58</v>
      </c>
      <c r="I8" s="4">
        <v>1</v>
      </c>
    </row>
    <row r="9" spans="1:9">
      <c r="A9" s="5" t="s">
        <v>7</v>
      </c>
      <c r="B9" s="1"/>
      <c r="C9" s="4" t="s">
        <v>44</v>
      </c>
      <c r="D9" s="4"/>
      <c r="E9" s="4"/>
      <c r="F9" s="4" t="s">
        <v>36</v>
      </c>
      <c r="H9" s="4" t="s">
        <v>59</v>
      </c>
      <c r="I9" s="4">
        <v>1</v>
      </c>
    </row>
    <row r="10" spans="1:9">
      <c r="A10" s="5" t="s">
        <v>8</v>
      </c>
      <c r="B10" s="1"/>
      <c r="H10" s="4" t="s">
        <v>61</v>
      </c>
      <c r="I10" s="4">
        <f>I4</f>
        <v>13</v>
      </c>
    </row>
    <row r="11" spans="1:9">
      <c r="A11" s="5" t="s">
        <v>9</v>
      </c>
      <c r="B11" s="1"/>
      <c r="H11" s="4" t="s">
        <v>60</v>
      </c>
      <c r="I11" s="4">
        <f>I4*3</f>
        <v>39</v>
      </c>
    </row>
    <row r="12" spans="1:9">
      <c r="A12" s="6" t="s">
        <v>10</v>
      </c>
      <c r="B12" s="2"/>
      <c r="H12" s="8" t="s">
        <v>62</v>
      </c>
      <c r="I12" s="8">
        <f>SUM(I13:I17)</f>
        <v>219</v>
      </c>
    </row>
    <row r="13" spans="1:9">
      <c r="A13" s="5" t="s">
        <v>11</v>
      </c>
      <c r="B13" s="1"/>
      <c r="H13" s="4" t="s">
        <v>63</v>
      </c>
      <c r="I13" s="4">
        <v>1</v>
      </c>
    </row>
    <row r="14" spans="1:9">
      <c r="A14" s="5" t="s">
        <v>12</v>
      </c>
      <c r="B14" s="1"/>
      <c r="H14" s="4" t="s">
        <v>64</v>
      </c>
      <c r="I14" s="4">
        <v>1</v>
      </c>
    </row>
    <row r="15" spans="1:9">
      <c r="A15" s="5" t="s">
        <v>13</v>
      </c>
      <c r="B15" s="1"/>
      <c r="H15" s="4" t="s">
        <v>65</v>
      </c>
      <c r="I15" s="4">
        <v>1</v>
      </c>
    </row>
    <row r="16" spans="1:9">
      <c r="A16" s="5" t="s">
        <v>14</v>
      </c>
      <c r="B16" s="1"/>
      <c r="H16" s="4" t="s">
        <v>66</v>
      </c>
      <c r="I16" s="4">
        <f>I7</f>
        <v>54</v>
      </c>
    </row>
    <row r="17" spans="1:9">
      <c r="A17" s="5" t="s">
        <v>15</v>
      </c>
      <c r="B17" s="1"/>
      <c r="H17" s="4" t="s">
        <v>67</v>
      </c>
      <c r="I17" s="4">
        <f>I7*3</f>
        <v>162</v>
      </c>
    </row>
    <row r="18" spans="1:9">
      <c r="A18" s="6" t="s">
        <v>22</v>
      </c>
      <c r="B18" s="2"/>
      <c r="H18" s="8" t="s">
        <v>68</v>
      </c>
      <c r="I18" s="8">
        <f>SUM(I19:I24)</f>
        <v>1098</v>
      </c>
    </row>
    <row r="19" spans="1:9">
      <c r="A19" s="5" t="s">
        <v>23</v>
      </c>
      <c r="B19" s="1"/>
      <c r="H19" s="4" t="s">
        <v>69</v>
      </c>
      <c r="I19" s="4">
        <v>1</v>
      </c>
    </row>
    <row r="20" spans="1:9">
      <c r="A20" s="5" t="s">
        <v>27</v>
      </c>
      <c r="B20" s="1"/>
      <c r="H20" s="4" t="s">
        <v>70</v>
      </c>
      <c r="I20" s="4">
        <v>1</v>
      </c>
    </row>
    <row r="21" spans="1:9">
      <c r="A21" s="5" t="s">
        <v>24</v>
      </c>
      <c r="B21" s="1"/>
      <c r="H21" s="4" t="s">
        <v>71</v>
      </c>
      <c r="I21" s="4">
        <v>1</v>
      </c>
    </row>
    <row r="22" spans="1:9">
      <c r="A22" s="5" t="s">
        <v>26</v>
      </c>
      <c r="B22" s="1"/>
      <c r="H22" s="4" t="s">
        <v>72</v>
      </c>
      <c r="I22" s="4">
        <f>I12</f>
        <v>219</v>
      </c>
    </row>
    <row r="23" spans="1:9">
      <c r="A23" s="5" t="s">
        <v>25</v>
      </c>
      <c r="B23" s="1"/>
      <c r="H23" s="4" t="s">
        <v>73</v>
      </c>
      <c r="I23" s="4">
        <f>I12*3</f>
        <v>657</v>
      </c>
    </row>
    <row r="24" spans="1:9">
      <c r="A24" s="6" t="s">
        <v>17</v>
      </c>
      <c r="B24" s="1"/>
      <c r="H24" s="4" t="s">
        <v>99</v>
      </c>
      <c r="I24" s="4">
        <f>I12</f>
        <v>219</v>
      </c>
    </row>
    <row r="25" spans="1:9">
      <c r="A25" s="5" t="s">
        <v>18</v>
      </c>
      <c r="B25" s="3"/>
      <c r="H25" s="8" t="s">
        <v>74</v>
      </c>
      <c r="I25" s="8">
        <f>SUM(I26:I31)</f>
        <v>5493</v>
      </c>
    </row>
    <row r="26" spans="1:9">
      <c r="A26" s="5" t="s">
        <v>19</v>
      </c>
      <c r="B26" s="3"/>
      <c r="H26" s="4" t="s">
        <v>75</v>
      </c>
      <c r="I26" s="4">
        <v>1</v>
      </c>
    </row>
    <row r="27" spans="1:9">
      <c r="A27" s="5" t="s">
        <v>20</v>
      </c>
      <c r="B27" s="3"/>
      <c r="H27" s="4" t="s">
        <v>76</v>
      </c>
      <c r="I27" s="4">
        <v>1</v>
      </c>
    </row>
    <row r="28" spans="1:9">
      <c r="A28" s="5" t="s">
        <v>21</v>
      </c>
      <c r="B28" s="3"/>
      <c r="H28" s="4" t="s">
        <v>77</v>
      </c>
      <c r="I28" s="4">
        <v>1</v>
      </c>
    </row>
    <row r="29" spans="1:9">
      <c r="A29" s="5" t="s">
        <v>16</v>
      </c>
      <c r="B29" s="3"/>
      <c r="H29" s="4" t="s">
        <v>86</v>
      </c>
      <c r="I29" s="4">
        <f>I18</f>
        <v>1098</v>
      </c>
    </row>
    <row r="30" spans="1:9">
      <c r="A30" s="1"/>
      <c r="B30" s="1"/>
      <c r="H30" s="4" t="s">
        <v>78</v>
      </c>
      <c r="I30" s="4">
        <f>I18*3</f>
        <v>3294</v>
      </c>
    </row>
    <row r="31" spans="1:9">
      <c r="H31" s="4" t="s">
        <v>100</v>
      </c>
      <c r="I31" s="4">
        <f>I18</f>
        <v>1098</v>
      </c>
    </row>
    <row r="32" spans="1:9">
      <c r="H32" s="8" t="s">
        <v>79</v>
      </c>
      <c r="I32" s="8">
        <f>SUM(I33:I37)</f>
        <v>17580</v>
      </c>
    </row>
    <row r="33" spans="8:9">
      <c r="H33" s="4" t="s">
        <v>80</v>
      </c>
      <c r="I33" s="4">
        <v>1</v>
      </c>
    </row>
    <row r="34" spans="8:9">
      <c r="H34" s="4" t="s">
        <v>81</v>
      </c>
      <c r="I34" s="4">
        <v>1</v>
      </c>
    </row>
    <row r="35" spans="8:9">
      <c r="H35" s="4" t="s">
        <v>82</v>
      </c>
      <c r="I35" s="4">
        <v>1</v>
      </c>
    </row>
    <row r="36" spans="8:9">
      <c r="H36" s="4" t="s">
        <v>83</v>
      </c>
      <c r="I36" s="4">
        <f>I18</f>
        <v>1098</v>
      </c>
    </row>
    <row r="37" spans="8:9">
      <c r="H37" s="4" t="s">
        <v>84</v>
      </c>
      <c r="I37" s="4">
        <f>I25*3</f>
        <v>16479</v>
      </c>
    </row>
    <row r="38" spans="8:9">
      <c r="H38" s="8" t="s">
        <v>223</v>
      </c>
      <c r="I38" s="8">
        <f>SUM(I39:I43)</f>
        <v>53721</v>
      </c>
    </row>
    <row r="39" spans="8:9">
      <c r="H39" s="9" t="s">
        <v>224</v>
      </c>
      <c r="I39" s="4">
        <v>1</v>
      </c>
    </row>
    <row r="40" spans="8:9">
      <c r="H40" s="9" t="s">
        <v>225</v>
      </c>
      <c r="I40" s="4">
        <v>1</v>
      </c>
    </row>
    <row r="41" spans="8:9">
      <c r="H41" s="9" t="s">
        <v>226</v>
      </c>
      <c r="I41" s="4">
        <v>1</v>
      </c>
    </row>
    <row r="42" spans="8:9">
      <c r="H42" s="9" t="s">
        <v>86</v>
      </c>
      <c r="I42" s="4">
        <f>BN!B1</f>
        <v>978</v>
      </c>
    </row>
    <row r="43" spans="8:9">
      <c r="H43" s="9" t="s">
        <v>227</v>
      </c>
      <c r="I43" s="4">
        <f>I32*3</f>
        <v>52740</v>
      </c>
    </row>
    <row r="44" spans="8:9">
      <c r="H44" s="8" t="s">
        <v>228</v>
      </c>
      <c r="I44" s="8">
        <f>SUM(I45:I49)</f>
        <v>162144</v>
      </c>
    </row>
    <row r="45" spans="8:9">
      <c r="H45" s="9" t="s">
        <v>229</v>
      </c>
      <c r="I45" s="4">
        <v>1</v>
      </c>
    </row>
    <row r="46" spans="8:9">
      <c r="H46" s="9" t="s">
        <v>230</v>
      </c>
      <c r="I46" s="4">
        <v>1</v>
      </c>
    </row>
    <row r="47" spans="8:9">
      <c r="H47" s="9" t="s">
        <v>231</v>
      </c>
      <c r="I47" s="4">
        <v>1</v>
      </c>
    </row>
    <row r="48" spans="8:9">
      <c r="H48" s="9" t="s">
        <v>86</v>
      </c>
      <c r="I48" s="4">
        <f>BN!B1</f>
        <v>978</v>
      </c>
    </row>
    <row r="49" spans="8:9">
      <c r="H49" s="9" t="s">
        <v>232</v>
      </c>
      <c r="I49" s="4">
        <f>I38*3</f>
        <v>161163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8576"/>
  <sheetViews>
    <sheetView zoomScale="70" zoomScaleNormal="70" workbookViewId="0"/>
  </sheetViews>
  <sheetFormatPr defaultRowHeight="15"/>
  <cols>
    <col min="1" max="1" width="16.7109375" bestFit="1" customWidth="1"/>
    <col min="2" max="2" width="4.42578125" bestFit="1" customWidth="1"/>
    <col min="3" max="3" width="2.85546875" customWidth="1"/>
    <col min="4" max="4" width="20.140625" bestFit="1" customWidth="1"/>
    <col min="5" max="5" width="5.42578125" bestFit="1" customWidth="1"/>
  </cols>
  <sheetData>
    <row r="1" spans="1:5">
      <c r="A1" s="4" t="s">
        <v>57</v>
      </c>
      <c r="B1" s="4">
        <f>E1</f>
        <v>54</v>
      </c>
      <c r="D1" s="8" t="s">
        <v>57</v>
      </c>
      <c r="E1" s="8">
        <f>SUM(E2:E5)</f>
        <v>54</v>
      </c>
    </row>
    <row r="2" spans="1:5">
      <c r="A2" s="4" t="s">
        <v>240</v>
      </c>
      <c r="B2" s="4">
        <f>E7</f>
        <v>52</v>
      </c>
      <c r="D2" s="4" t="s">
        <v>58</v>
      </c>
      <c r="E2" s="4">
        <v>1</v>
      </c>
    </row>
    <row r="3" spans="1:5">
      <c r="A3" s="4" t="s">
        <v>245</v>
      </c>
      <c r="B3" s="4">
        <f>E13</f>
        <v>65</v>
      </c>
      <c r="D3" s="4" t="s">
        <v>59</v>
      </c>
      <c r="E3" s="4">
        <v>1</v>
      </c>
    </row>
    <row r="4" spans="1:5">
      <c r="A4" s="9" t="s">
        <v>248</v>
      </c>
      <c r="B4" s="4">
        <f>E18</f>
        <v>39</v>
      </c>
      <c r="D4" s="4" t="s">
        <v>61</v>
      </c>
      <c r="E4" s="4">
        <f>INFO!I4</f>
        <v>13</v>
      </c>
    </row>
    <row r="5" spans="1:5">
      <c r="A5" s="9" t="s">
        <v>251</v>
      </c>
      <c r="B5" s="4">
        <f>E23</f>
        <v>104</v>
      </c>
      <c r="D5" s="4" t="s">
        <v>60</v>
      </c>
      <c r="E5" s="4">
        <f>INFO!I4*3</f>
        <v>39</v>
      </c>
    </row>
    <row r="7" spans="1:5">
      <c r="D7" s="8" t="s">
        <v>240</v>
      </c>
      <c r="E7" s="8">
        <f>SUM(E8:E11)</f>
        <v>52</v>
      </c>
    </row>
    <row r="8" spans="1:5">
      <c r="D8" s="4" t="s">
        <v>241</v>
      </c>
      <c r="E8" s="4">
        <f>INFO!I4</f>
        <v>13</v>
      </c>
    </row>
    <row r="9" spans="1:5">
      <c r="D9" s="4" t="s">
        <v>242</v>
      </c>
      <c r="E9" s="4">
        <f>INFO!I4</f>
        <v>13</v>
      </c>
    </row>
    <row r="10" spans="1:5">
      <c r="D10" s="4" t="s">
        <v>243</v>
      </c>
      <c r="E10" s="4">
        <f>INFO!I4</f>
        <v>13</v>
      </c>
    </row>
    <row r="11" spans="1:5">
      <c r="D11" s="4" t="s">
        <v>244</v>
      </c>
      <c r="E11" s="4">
        <f>INFO!I4</f>
        <v>13</v>
      </c>
    </row>
    <row r="13" spans="1:5">
      <c r="D13" s="8" t="s">
        <v>245</v>
      </c>
      <c r="E13" s="8">
        <f>SUM(E14:E16)</f>
        <v>65</v>
      </c>
    </row>
    <row r="14" spans="1:5">
      <c r="D14" s="4" t="s">
        <v>61</v>
      </c>
      <c r="E14" s="4">
        <f>INFO!I4</f>
        <v>13</v>
      </c>
    </row>
    <row r="15" spans="1:5">
      <c r="D15" s="4" t="s">
        <v>246</v>
      </c>
      <c r="E15" s="4">
        <f>INFO!I4</f>
        <v>13</v>
      </c>
    </row>
    <row r="16" spans="1:5">
      <c r="D16" s="4" t="s">
        <v>247</v>
      </c>
      <c r="E16" s="4">
        <f>INFO!I4*3</f>
        <v>39</v>
      </c>
    </row>
    <row r="18" spans="4:5">
      <c r="D18" s="8" t="s">
        <v>248</v>
      </c>
      <c r="E18" s="8">
        <f>SUM(E19:E21)</f>
        <v>39</v>
      </c>
    </row>
    <row r="19" spans="4:5">
      <c r="D19" s="4" t="s">
        <v>61</v>
      </c>
      <c r="E19" s="4">
        <f>INFO!I4</f>
        <v>13</v>
      </c>
    </row>
    <row r="20" spans="4:5">
      <c r="D20" s="4" t="s">
        <v>249</v>
      </c>
      <c r="E20" s="4">
        <f>INFO!I4</f>
        <v>13</v>
      </c>
    </row>
    <row r="21" spans="4:5">
      <c r="D21" s="4" t="s">
        <v>250</v>
      </c>
      <c r="E21" s="4">
        <f>INFO!I4</f>
        <v>13</v>
      </c>
    </row>
    <row r="23" spans="4:5">
      <c r="D23" s="8" t="s">
        <v>251</v>
      </c>
      <c r="E23" s="8">
        <f>SUM(E24:E31)</f>
        <v>104</v>
      </c>
    </row>
    <row r="24" spans="4:5">
      <c r="D24" s="4" t="s">
        <v>61</v>
      </c>
      <c r="E24" s="4">
        <f>INFO!I4</f>
        <v>13</v>
      </c>
    </row>
    <row r="25" spans="4:5">
      <c r="D25" s="4" t="s">
        <v>252</v>
      </c>
      <c r="E25" s="4">
        <f>INFO!I4</f>
        <v>13</v>
      </c>
    </row>
    <row r="26" spans="4:5">
      <c r="D26" s="4" t="s">
        <v>253</v>
      </c>
      <c r="E26" s="4">
        <f>INFO!I4</f>
        <v>13</v>
      </c>
    </row>
    <row r="27" spans="4:5">
      <c r="D27" s="4" t="s">
        <v>254</v>
      </c>
      <c r="E27" s="4">
        <f>INFO!I4</f>
        <v>13</v>
      </c>
    </row>
    <row r="28" spans="4:5">
      <c r="D28" s="4" t="s">
        <v>255</v>
      </c>
      <c r="E28" s="4">
        <f>INFO!I4</f>
        <v>13</v>
      </c>
    </row>
    <row r="29" spans="4:5">
      <c r="D29" s="4" t="s">
        <v>256</v>
      </c>
      <c r="E29" s="4">
        <f>INFO!I4</f>
        <v>13</v>
      </c>
    </row>
    <row r="30" spans="4:5">
      <c r="D30" s="4" t="s">
        <v>257</v>
      </c>
      <c r="E30" s="4">
        <f>INFO!I4</f>
        <v>13</v>
      </c>
    </row>
    <row r="31" spans="4:5">
      <c r="D31" s="9" t="s">
        <v>258</v>
      </c>
      <c r="E31" s="4">
        <f>INFO!I4</f>
        <v>13</v>
      </c>
    </row>
    <row r="1048576" spans="5:5">
      <c r="E1048576" s="4">
        <f>INFO!I1048561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0"/>
  <sheetViews>
    <sheetView tabSelected="1" zoomScale="70" zoomScaleNormal="70" workbookViewId="0">
      <selection activeCell="H24" sqref="H24"/>
    </sheetView>
  </sheetViews>
  <sheetFormatPr defaultRowHeight="15"/>
  <cols>
    <col min="1" max="1" width="14.5703125" bestFit="1" customWidth="1"/>
    <col min="2" max="2" width="4.42578125" bestFit="1" customWidth="1"/>
    <col min="3" max="3" width="2.85546875" customWidth="1"/>
    <col min="4" max="4" width="33" bestFit="1" customWidth="1"/>
    <col min="5" max="5" width="5.42578125" bestFit="1" customWidth="1"/>
    <col min="6" max="6" width="2.85546875" customWidth="1"/>
    <col min="7" max="7" width="17.42578125" bestFit="1" customWidth="1"/>
    <col min="8" max="8" width="5.42578125" bestFit="1" customWidth="1"/>
    <col min="9" max="9" width="2.85546875" customWidth="1"/>
  </cols>
  <sheetData>
    <row r="1" spans="1:9">
      <c r="A1" s="13" t="s">
        <v>62</v>
      </c>
      <c r="B1" s="13">
        <f>E1</f>
        <v>273</v>
      </c>
      <c r="D1" s="8" t="s">
        <v>62</v>
      </c>
      <c r="E1" s="8">
        <f>SUM(E2:E7)</f>
        <v>273</v>
      </c>
      <c r="I1" s="10"/>
    </row>
    <row r="2" spans="1:9">
      <c r="A2" s="13" t="s">
        <v>91</v>
      </c>
      <c r="B2" s="13">
        <f>E9</f>
        <v>270</v>
      </c>
      <c r="D2" s="4" t="s">
        <v>63</v>
      </c>
      <c r="E2" s="4">
        <v>1</v>
      </c>
      <c r="I2" s="10"/>
    </row>
    <row r="3" spans="1:9">
      <c r="A3" s="13" t="s">
        <v>146</v>
      </c>
      <c r="B3" s="13">
        <f>E18</f>
        <v>324</v>
      </c>
      <c r="D3" s="4" t="s">
        <v>64</v>
      </c>
      <c r="E3" s="4">
        <v>1</v>
      </c>
      <c r="I3" s="10"/>
    </row>
    <row r="4" spans="1:9">
      <c r="A4" s="13" t="s">
        <v>112</v>
      </c>
      <c r="B4" s="13">
        <f>E26</f>
        <v>270</v>
      </c>
      <c r="D4" s="4" t="s">
        <v>65</v>
      </c>
      <c r="E4" s="4">
        <v>1</v>
      </c>
      <c r="I4" s="10"/>
    </row>
    <row r="5" spans="1:9">
      <c r="A5" s="14" t="s">
        <v>145</v>
      </c>
      <c r="B5" s="14">
        <f>E38</f>
        <v>108</v>
      </c>
      <c r="D5" s="4" t="s">
        <v>66</v>
      </c>
      <c r="E5" s="4">
        <f>INFO!I7</f>
        <v>54</v>
      </c>
    </row>
    <row r="6" spans="1:9">
      <c r="A6" s="14" t="s">
        <v>147</v>
      </c>
      <c r="B6" s="14">
        <f>E45</f>
        <v>378</v>
      </c>
      <c r="D6" s="4" t="s">
        <v>67</v>
      </c>
      <c r="E6" s="4">
        <f>INFO!I7*3</f>
        <v>162</v>
      </c>
    </row>
    <row r="7" spans="1:9">
      <c r="A7" s="14" t="s">
        <v>148</v>
      </c>
      <c r="B7" s="14">
        <f>E54</f>
        <v>270</v>
      </c>
      <c r="D7" s="9" t="s">
        <v>206</v>
      </c>
      <c r="E7" s="4">
        <f>INFO!I7</f>
        <v>54</v>
      </c>
    </row>
    <row r="8" spans="1:9">
      <c r="A8" s="14" t="s">
        <v>134</v>
      </c>
      <c r="B8" s="13">
        <f>E61</f>
        <v>216</v>
      </c>
    </row>
    <row r="9" spans="1:9">
      <c r="A9" s="14" t="s">
        <v>143</v>
      </c>
      <c r="B9" s="13">
        <f>E67</f>
        <v>432</v>
      </c>
      <c r="D9" s="8" t="s">
        <v>91</v>
      </c>
      <c r="E9" s="8">
        <f>SUM(E10:E14)</f>
        <v>270</v>
      </c>
      <c r="G9" s="8" t="s">
        <v>221</v>
      </c>
      <c r="H9" s="8">
        <f>SUM(H10:H16)</f>
        <v>378</v>
      </c>
      <c r="I9" s="10"/>
    </row>
    <row r="10" spans="1:9">
      <c r="A10" s="14" t="s">
        <v>103</v>
      </c>
      <c r="B10" s="13">
        <f>E77</f>
        <v>324</v>
      </c>
      <c r="D10" s="4" t="s">
        <v>107</v>
      </c>
      <c r="E10" s="4">
        <f>INFO!I7</f>
        <v>54</v>
      </c>
      <c r="G10" s="4" t="s">
        <v>107</v>
      </c>
      <c r="H10" s="4">
        <f>'PLT(-)'!B1</f>
        <v>54</v>
      </c>
      <c r="I10" s="10"/>
    </row>
    <row r="11" spans="1:9">
      <c r="A11" s="13" t="s">
        <v>104</v>
      </c>
      <c r="B11" s="13">
        <f>E85</f>
        <v>162</v>
      </c>
      <c r="D11" s="4" t="s">
        <v>108</v>
      </c>
      <c r="E11" s="4">
        <f>INFO!I7</f>
        <v>54</v>
      </c>
      <c r="G11" s="4" t="s">
        <v>108</v>
      </c>
      <c r="H11" s="4">
        <f>'PLT(-)'!B1</f>
        <v>54</v>
      </c>
      <c r="I11" s="10"/>
    </row>
    <row r="12" spans="1:9">
      <c r="A12" s="13" t="s">
        <v>105</v>
      </c>
      <c r="B12" s="13">
        <f>E90</f>
        <v>270</v>
      </c>
      <c r="D12" s="4" t="s">
        <v>109</v>
      </c>
      <c r="E12" s="4">
        <f>INFO!I7</f>
        <v>54</v>
      </c>
      <c r="G12" s="4" t="s">
        <v>109</v>
      </c>
      <c r="H12" s="4">
        <f>'PLT(-)'!B1</f>
        <v>54</v>
      </c>
    </row>
    <row r="13" spans="1:9">
      <c r="A13" s="13" t="s">
        <v>106</v>
      </c>
      <c r="B13" s="13">
        <f>E97</f>
        <v>378</v>
      </c>
      <c r="D13" s="4" t="s">
        <v>110</v>
      </c>
      <c r="E13" s="4">
        <f>INFO!I7</f>
        <v>54</v>
      </c>
      <c r="G13" s="4" t="s">
        <v>110</v>
      </c>
      <c r="H13" s="4">
        <f>'PLT(-)'!B1</f>
        <v>54</v>
      </c>
    </row>
    <row r="14" spans="1:9">
      <c r="A14" s="13" t="s">
        <v>165</v>
      </c>
      <c r="B14" s="13">
        <f>E106</f>
        <v>324</v>
      </c>
      <c r="D14" s="4" t="s">
        <v>111</v>
      </c>
      <c r="E14" s="4">
        <f>INFO!I7</f>
        <v>54</v>
      </c>
      <c r="G14" s="4" t="s">
        <v>111</v>
      </c>
      <c r="H14" s="4">
        <f>'PLT(-)'!B1</f>
        <v>54</v>
      </c>
    </row>
    <row r="15" spans="1:9">
      <c r="A15" s="13" t="s">
        <v>176</v>
      </c>
      <c r="B15" s="13">
        <f>E114</f>
        <v>270</v>
      </c>
      <c r="G15" s="4" t="s">
        <v>222</v>
      </c>
      <c r="H15" s="4">
        <f>'PLT(-)'!B1</f>
        <v>54</v>
      </c>
    </row>
    <row r="16" spans="1:9">
      <c r="A16" s="13" t="s">
        <v>167</v>
      </c>
      <c r="B16" s="13">
        <f>E121</f>
        <v>162</v>
      </c>
      <c r="G16" s="4" t="s">
        <v>206</v>
      </c>
      <c r="H16" s="4">
        <f>'PLT(-)'!B1</f>
        <v>54</v>
      </c>
    </row>
    <row r="17" spans="1:8">
      <c r="A17" s="13" t="s">
        <v>168</v>
      </c>
      <c r="B17" s="13">
        <f>E126</f>
        <v>270</v>
      </c>
    </row>
    <row r="18" spans="1:8">
      <c r="A18" s="13" t="s">
        <v>169</v>
      </c>
      <c r="B18" s="13">
        <f>E133</f>
        <v>108</v>
      </c>
      <c r="D18" s="8" t="s">
        <v>146</v>
      </c>
      <c r="E18" s="8">
        <f>SUM(E19:E24)</f>
        <v>324</v>
      </c>
    </row>
    <row r="19" spans="1:8">
      <c r="A19" s="13" t="s">
        <v>170</v>
      </c>
      <c r="B19" s="13">
        <f>E137</f>
        <v>108</v>
      </c>
      <c r="D19" s="4" t="s">
        <v>66</v>
      </c>
      <c r="E19" s="4">
        <f>INFO!I7</f>
        <v>54</v>
      </c>
    </row>
    <row r="20" spans="1:8">
      <c r="A20" s="13" t="s">
        <v>195</v>
      </c>
      <c r="B20" s="13">
        <f>E141</f>
        <v>216</v>
      </c>
      <c r="D20" s="4" t="s">
        <v>119</v>
      </c>
      <c r="E20" s="4">
        <f>INFO!I7</f>
        <v>54</v>
      </c>
    </row>
    <row r="21" spans="1:8">
      <c r="A21" s="13" t="s">
        <v>197</v>
      </c>
      <c r="B21" s="13">
        <f>E145</f>
        <v>216</v>
      </c>
      <c r="D21" s="4" t="s">
        <v>120</v>
      </c>
      <c r="E21" s="4">
        <f>INFO!I7</f>
        <v>54</v>
      </c>
    </row>
    <row r="22" spans="1:8">
      <c r="A22" s="13" t="s">
        <v>199</v>
      </c>
      <c r="B22" s="13">
        <f>E149</f>
        <v>216</v>
      </c>
      <c r="D22" s="4" t="s">
        <v>121</v>
      </c>
      <c r="E22" s="4">
        <f>INFO!I7</f>
        <v>54</v>
      </c>
    </row>
    <row r="23" spans="1:8">
      <c r="A23" s="13" t="s">
        <v>207</v>
      </c>
      <c r="B23" s="13">
        <f>E153</f>
        <v>216</v>
      </c>
      <c r="D23" s="4" t="s">
        <v>122</v>
      </c>
      <c r="E23" s="4">
        <f>INFO!I7</f>
        <v>54</v>
      </c>
    </row>
    <row r="24" spans="1:8">
      <c r="A24" s="13" t="s">
        <v>203</v>
      </c>
      <c r="B24" s="13">
        <f>E157</f>
        <v>270</v>
      </c>
      <c r="D24" s="4" t="s">
        <v>123</v>
      </c>
      <c r="E24" s="4">
        <f>INFO!I7</f>
        <v>54</v>
      </c>
    </row>
    <row r="25" spans="1:8">
      <c r="A25" s="14" t="s">
        <v>144</v>
      </c>
      <c r="B25" s="14">
        <f>E32</f>
        <v>216</v>
      </c>
    </row>
    <row r="26" spans="1:8">
      <c r="A26" s="11" t="s">
        <v>233</v>
      </c>
      <c r="B26" s="4">
        <f>H26</f>
        <v>390</v>
      </c>
      <c r="D26" s="8" t="s">
        <v>112</v>
      </c>
      <c r="E26" s="8">
        <f>SUM(E27:E29)</f>
        <v>270</v>
      </c>
      <c r="G26" s="8" t="s">
        <v>233</v>
      </c>
      <c r="H26" s="8">
        <f>SUM(H27:H30)</f>
        <v>390</v>
      </c>
    </row>
    <row r="27" spans="1:8">
      <c r="A27" s="11" t="s">
        <v>221</v>
      </c>
      <c r="B27" s="4">
        <f>H9</f>
        <v>378</v>
      </c>
      <c r="D27" s="4" t="s">
        <v>113</v>
      </c>
      <c r="E27" s="4">
        <f>INFO!I7</f>
        <v>54</v>
      </c>
      <c r="G27" s="4" t="s">
        <v>66</v>
      </c>
      <c r="H27" s="4">
        <f>'PLT(-)'!B2</f>
        <v>52</v>
      </c>
    </row>
    <row r="28" spans="1:8">
      <c r="A28" s="11" t="s">
        <v>236</v>
      </c>
      <c r="B28" s="4">
        <f>H32</f>
        <v>324</v>
      </c>
      <c r="D28" s="4" t="s">
        <v>114</v>
      </c>
      <c r="E28" s="4">
        <f>INFO!I7*3</f>
        <v>162</v>
      </c>
      <c r="G28" s="4" t="s">
        <v>234</v>
      </c>
      <c r="H28" s="4">
        <f>'PLT(-)'!B3*3</f>
        <v>195</v>
      </c>
    </row>
    <row r="29" spans="1:8">
      <c r="A29" s="11" t="s">
        <v>238</v>
      </c>
      <c r="B29" s="4">
        <f>H38</f>
        <v>270</v>
      </c>
      <c r="D29" s="4" t="s">
        <v>115</v>
      </c>
      <c r="E29" s="4">
        <f>INFO!I7</f>
        <v>54</v>
      </c>
      <c r="G29" s="4" t="s">
        <v>115</v>
      </c>
      <c r="H29" s="4">
        <f>'PLT(-)'!B4</f>
        <v>39</v>
      </c>
    </row>
    <row r="30" spans="1:8">
      <c r="G30" s="4" t="s">
        <v>206</v>
      </c>
      <c r="H30" s="4">
        <f>'PLT(-)'!E23</f>
        <v>104</v>
      </c>
    </row>
    <row r="32" spans="1:8">
      <c r="D32" s="8" t="s">
        <v>144</v>
      </c>
      <c r="E32" s="8">
        <f>SUM(E33:E34)</f>
        <v>216</v>
      </c>
      <c r="G32" s="8" t="s">
        <v>236</v>
      </c>
      <c r="H32" s="8">
        <f>SUM(H33:H36)</f>
        <v>324</v>
      </c>
    </row>
    <row r="33" spans="4:8">
      <c r="D33" s="4" t="s">
        <v>116</v>
      </c>
      <c r="E33" s="4">
        <f>INFO!I7</f>
        <v>54</v>
      </c>
      <c r="G33" s="4" t="s">
        <v>116</v>
      </c>
      <c r="H33" s="4">
        <f>'PLT(-)'!B1</f>
        <v>54</v>
      </c>
    </row>
    <row r="34" spans="4:8">
      <c r="D34" s="4" t="s">
        <v>117</v>
      </c>
      <c r="E34" s="4">
        <f>INFO!I7*3</f>
        <v>162</v>
      </c>
      <c r="G34" s="4" t="s">
        <v>117</v>
      </c>
      <c r="H34" s="4">
        <f>'PLT(-)'!B1*3</f>
        <v>162</v>
      </c>
    </row>
    <row r="35" spans="4:8">
      <c r="G35" s="4" t="s">
        <v>237</v>
      </c>
      <c r="H35" s="4">
        <f>'PLT(-)'!B1</f>
        <v>54</v>
      </c>
    </row>
    <row r="36" spans="4:8">
      <c r="G36" s="9" t="s">
        <v>206</v>
      </c>
      <c r="H36" s="4">
        <f>'PLT(-)'!B1</f>
        <v>54</v>
      </c>
    </row>
    <row r="38" spans="4:8">
      <c r="D38" s="8" t="s">
        <v>145</v>
      </c>
      <c r="E38" s="8">
        <f>SUM(E39:E40)</f>
        <v>108</v>
      </c>
      <c r="G38" s="8" t="s">
        <v>238</v>
      </c>
      <c r="H38" s="8">
        <f>SUM(H39:H43)</f>
        <v>270</v>
      </c>
    </row>
    <row r="39" spans="4:8">
      <c r="D39" s="4" t="s">
        <v>66</v>
      </c>
      <c r="E39" s="4">
        <f>INFO!I7</f>
        <v>54</v>
      </c>
      <c r="G39" s="4" t="s">
        <v>66</v>
      </c>
      <c r="H39" s="4">
        <f>'PLT(-)'!B1</f>
        <v>54</v>
      </c>
    </row>
    <row r="40" spans="4:8">
      <c r="D40" s="4" t="s">
        <v>118</v>
      </c>
      <c r="E40" s="4">
        <f>INFO!I7</f>
        <v>54</v>
      </c>
      <c r="G40" s="4" t="s">
        <v>118</v>
      </c>
      <c r="H40" s="4">
        <f>'PLT(-)'!B1</f>
        <v>54</v>
      </c>
    </row>
    <row r="41" spans="4:8">
      <c r="G41" s="4" t="s">
        <v>124</v>
      </c>
      <c r="H41" s="4">
        <f>'PLT(-)'!B1</f>
        <v>54</v>
      </c>
    </row>
    <row r="42" spans="4:8">
      <c r="G42" s="4" t="s">
        <v>206</v>
      </c>
      <c r="H42" s="4">
        <f>'PLT(-)'!B1</f>
        <v>54</v>
      </c>
    </row>
    <row r="43" spans="4:8">
      <c r="G43" s="4" t="s">
        <v>239</v>
      </c>
      <c r="H43" s="4">
        <f>'PLT(-)'!B1</f>
        <v>54</v>
      </c>
    </row>
    <row r="45" spans="4:8">
      <c r="D45" s="8" t="s">
        <v>147</v>
      </c>
      <c r="E45" s="8">
        <f>SUM(E46:E52)</f>
        <v>378</v>
      </c>
    </row>
    <row r="46" spans="4:8">
      <c r="D46" s="4" t="s">
        <v>66</v>
      </c>
      <c r="E46" s="4">
        <f>INFO!I7</f>
        <v>54</v>
      </c>
    </row>
    <row r="47" spans="4:8">
      <c r="D47" s="4" t="s">
        <v>124</v>
      </c>
      <c r="E47" s="4">
        <f>INFO!I7</f>
        <v>54</v>
      </c>
    </row>
    <row r="48" spans="4:8">
      <c r="D48" s="4" t="s">
        <v>125</v>
      </c>
      <c r="E48" s="4">
        <f>INFO!I7</f>
        <v>54</v>
      </c>
    </row>
    <row r="49" spans="4:5">
      <c r="D49" s="4" t="s">
        <v>126</v>
      </c>
      <c r="E49" s="4">
        <f>INFO!I7</f>
        <v>54</v>
      </c>
    </row>
    <row r="50" spans="4:5">
      <c r="D50" s="4" t="s">
        <v>127</v>
      </c>
      <c r="E50" s="4">
        <f>INFO!I7</f>
        <v>54</v>
      </c>
    </row>
    <row r="51" spans="4:5">
      <c r="D51" s="4" t="s">
        <v>128</v>
      </c>
      <c r="E51" s="4">
        <f>INFO!I7</f>
        <v>54</v>
      </c>
    </row>
    <row r="52" spans="4:5">
      <c r="D52" s="4" t="s">
        <v>129</v>
      </c>
      <c r="E52" s="4">
        <f>INFO!I7</f>
        <v>54</v>
      </c>
    </row>
    <row r="54" spans="4:5">
      <c r="D54" s="8" t="s">
        <v>148</v>
      </c>
      <c r="E54" s="8">
        <f>SUM(E55:E59)</f>
        <v>270</v>
      </c>
    </row>
    <row r="55" spans="4:5">
      <c r="D55" s="4" t="s">
        <v>66</v>
      </c>
      <c r="E55" s="4">
        <f>INFO!I7</f>
        <v>54</v>
      </c>
    </row>
    <row r="56" spans="4:5">
      <c r="D56" s="4" t="s">
        <v>130</v>
      </c>
      <c r="E56" s="4">
        <f>INFO!I7</f>
        <v>54</v>
      </c>
    </row>
    <row r="57" spans="4:5">
      <c r="D57" s="4" t="s">
        <v>131</v>
      </c>
      <c r="E57" s="4">
        <f>INFO!I7</f>
        <v>54</v>
      </c>
    </row>
    <row r="58" spans="4:5">
      <c r="D58" s="4" t="s">
        <v>132</v>
      </c>
      <c r="E58" s="4">
        <f>INFO!I7</f>
        <v>54</v>
      </c>
    </row>
    <row r="59" spans="4:5">
      <c r="D59" s="4" t="s">
        <v>133</v>
      </c>
      <c r="E59" s="4">
        <f>INFO!I7</f>
        <v>54</v>
      </c>
    </row>
    <row r="61" spans="4:5">
      <c r="D61" s="8" t="s">
        <v>134</v>
      </c>
      <c r="E61" s="8">
        <f>SUM(E62:E65)</f>
        <v>216</v>
      </c>
    </row>
    <row r="62" spans="4:5">
      <c r="D62" s="4" t="s">
        <v>66</v>
      </c>
      <c r="E62" s="4">
        <f>INFO!I7</f>
        <v>54</v>
      </c>
    </row>
    <row r="63" spans="4:5">
      <c r="D63" s="4" t="s">
        <v>135</v>
      </c>
      <c r="E63" s="4">
        <f>INFO!I7</f>
        <v>54</v>
      </c>
    </row>
    <row r="64" spans="4:5">
      <c r="D64" s="4" t="s">
        <v>136</v>
      </c>
      <c r="E64" s="4">
        <f>INFO!I7</f>
        <v>54</v>
      </c>
    </row>
    <row r="65" spans="4:5">
      <c r="D65" s="4" t="s">
        <v>137</v>
      </c>
      <c r="E65" s="4">
        <f>INFO!I7</f>
        <v>54</v>
      </c>
    </row>
    <row r="67" spans="4:5">
      <c r="D67" s="8" t="s">
        <v>143</v>
      </c>
      <c r="E67" s="8">
        <f>SUM(E68:E75)</f>
        <v>432</v>
      </c>
    </row>
    <row r="68" spans="4:5">
      <c r="D68" s="4" t="s">
        <v>66</v>
      </c>
      <c r="E68" s="4">
        <f>INFO!I7</f>
        <v>54</v>
      </c>
    </row>
    <row r="69" spans="4:5">
      <c r="D69" s="4" t="s">
        <v>130</v>
      </c>
      <c r="E69" s="4">
        <f>INFO!I7</f>
        <v>54</v>
      </c>
    </row>
    <row r="70" spans="4:5">
      <c r="D70" s="4" t="s">
        <v>131</v>
      </c>
      <c r="E70" s="4">
        <f>INFO!I7</f>
        <v>54</v>
      </c>
    </row>
    <row r="71" spans="4:5">
      <c r="D71" s="4" t="s">
        <v>132</v>
      </c>
      <c r="E71" s="4">
        <f>INFO!I7</f>
        <v>54</v>
      </c>
    </row>
    <row r="72" spans="4:5">
      <c r="D72" s="4" t="s">
        <v>138</v>
      </c>
      <c r="E72" s="4">
        <f>INFO!I7</f>
        <v>54</v>
      </c>
    </row>
    <row r="73" spans="4:5">
      <c r="D73" s="4" t="s">
        <v>125</v>
      </c>
      <c r="E73" s="4">
        <f>INFO!I7</f>
        <v>54</v>
      </c>
    </row>
    <row r="74" spans="4:5">
      <c r="D74" s="4" t="s">
        <v>126</v>
      </c>
      <c r="E74" s="4">
        <f>'PLT(-)'!B1</f>
        <v>54</v>
      </c>
    </row>
    <row r="75" spans="4:5">
      <c r="D75" s="4" t="s">
        <v>127</v>
      </c>
      <c r="E75" s="4">
        <f>INFO!I7</f>
        <v>54</v>
      </c>
    </row>
    <row r="77" spans="4:5">
      <c r="D77" s="8" t="s">
        <v>103</v>
      </c>
      <c r="E77" s="8">
        <f>SUM(E78:E83)</f>
        <v>324</v>
      </c>
    </row>
    <row r="78" spans="4:5">
      <c r="D78" s="4" t="s">
        <v>66</v>
      </c>
      <c r="E78" s="4">
        <f>INFO!I7</f>
        <v>54</v>
      </c>
    </row>
    <row r="79" spans="4:5">
      <c r="D79" s="4" t="s">
        <v>149</v>
      </c>
      <c r="E79" s="4">
        <f>INFO!I7</f>
        <v>54</v>
      </c>
    </row>
    <row r="80" spans="4:5">
      <c r="D80" s="12" t="s">
        <v>159</v>
      </c>
      <c r="E80" s="4">
        <f>INFO!I7</f>
        <v>54</v>
      </c>
    </row>
    <row r="81" spans="4:5">
      <c r="D81" s="4" t="s">
        <v>150</v>
      </c>
      <c r="E81" s="4">
        <f>INFO!I7</f>
        <v>54</v>
      </c>
    </row>
    <row r="82" spans="4:5">
      <c r="D82" s="4" t="s">
        <v>151</v>
      </c>
      <c r="E82" s="4">
        <f>INFO!I7</f>
        <v>54</v>
      </c>
    </row>
    <row r="83" spans="4:5">
      <c r="D83" s="4" t="s">
        <v>152</v>
      </c>
      <c r="E83" s="4">
        <f>INFO!I7</f>
        <v>54</v>
      </c>
    </row>
    <row r="85" spans="4:5">
      <c r="D85" s="8" t="s">
        <v>104</v>
      </c>
      <c r="E85" s="8">
        <f>SUM(E86:E88)</f>
        <v>162</v>
      </c>
    </row>
    <row r="86" spans="4:5">
      <c r="D86" s="4" t="s">
        <v>66</v>
      </c>
      <c r="E86" s="7">
        <f>INFO!I7</f>
        <v>54</v>
      </c>
    </row>
    <row r="87" spans="4:5">
      <c r="D87" s="4" t="s">
        <v>153</v>
      </c>
      <c r="E87" s="4">
        <f>INFO!I7</f>
        <v>54</v>
      </c>
    </row>
    <row r="88" spans="4:5">
      <c r="D88" s="4" t="s">
        <v>154</v>
      </c>
      <c r="E88" s="4">
        <f>INFO!I7</f>
        <v>54</v>
      </c>
    </row>
    <row r="90" spans="4:5">
      <c r="D90" s="8" t="s">
        <v>105</v>
      </c>
      <c r="E90" s="8">
        <f>SUM(E91:E95)</f>
        <v>270</v>
      </c>
    </row>
    <row r="91" spans="4:5">
      <c r="D91" s="4" t="s">
        <v>66</v>
      </c>
      <c r="E91" s="4">
        <f>INFO!I7</f>
        <v>54</v>
      </c>
    </row>
    <row r="92" spans="4:5">
      <c r="D92" s="4" t="s">
        <v>155</v>
      </c>
      <c r="E92" s="4">
        <f>INFO!I7</f>
        <v>54</v>
      </c>
    </row>
    <row r="93" spans="4:5">
      <c r="D93" s="4" t="s">
        <v>156</v>
      </c>
      <c r="E93" s="4">
        <f>INFO!I7</f>
        <v>54</v>
      </c>
    </row>
    <row r="94" spans="4:5">
      <c r="D94" s="4" t="s">
        <v>157</v>
      </c>
      <c r="E94" s="4">
        <f>INFO!I7</f>
        <v>54</v>
      </c>
    </row>
    <row r="95" spans="4:5">
      <c r="D95" s="4" t="s">
        <v>158</v>
      </c>
      <c r="E95" s="4">
        <f>INFO!I7</f>
        <v>54</v>
      </c>
    </row>
    <row r="97" spans="4:5">
      <c r="D97" s="8" t="s">
        <v>106</v>
      </c>
      <c r="E97" s="8">
        <f>SUM(E98:E104)</f>
        <v>378</v>
      </c>
    </row>
    <row r="98" spans="4:5">
      <c r="D98" s="4" t="s">
        <v>66</v>
      </c>
      <c r="E98" s="4">
        <f>INFO!I7</f>
        <v>54</v>
      </c>
    </row>
    <row r="99" spans="4:5">
      <c r="D99" s="4" t="s">
        <v>137</v>
      </c>
      <c r="E99" s="4">
        <f>INFO!I7</f>
        <v>54</v>
      </c>
    </row>
    <row r="100" spans="4:5">
      <c r="D100" s="4" t="s">
        <v>160</v>
      </c>
      <c r="E100" s="4">
        <f>INFO!I7</f>
        <v>54</v>
      </c>
    </row>
    <row r="101" spans="4:5">
      <c r="D101" s="4" t="s">
        <v>161</v>
      </c>
      <c r="E101" s="4">
        <f>INFO!I7</f>
        <v>54</v>
      </c>
    </row>
    <row r="102" spans="4:5">
      <c r="D102" s="4" t="s">
        <v>162</v>
      </c>
      <c r="E102" s="4">
        <f>INFO!I7</f>
        <v>54</v>
      </c>
    </row>
    <row r="103" spans="4:5">
      <c r="D103" s="4" t="s">
        <v>163</v>
      </c>
      <c r="E103" s="4">
        <f>INFO!I7</f>
        <v>54</v>
      </c>
    </row>
    <row r="104" spans="4:5">
      <c r="D104" s="4" t="s">
        <v>164</v>
      </c>
      <c r="E104" s="4">
        <f>INFO!I7</f>
        <v>54</v>
      </c>
    </row>
    <row r="106" spans="4:5">
      <c r="D106" s="8" t="s">
        <v>165</v>
      </c>
      <c r="E106" s="8">
        <f>SUM(E107:E112)</f>
        <v>324</v>
      </c>
    </row>
    <row r="107" spans="4:5">
      <c r="D107" s="4" t="s">
        <v>66</v>
      </c>
      <c r="E107" s="4">
        <f>INFO!I7</f>
        <v>54</v>
      </c>
    </row>
    <row r="108" spans="4:5">
      <c r="D108" s="4" t="s">
        <v>171</v>
      </c>
      <c r="E108" s="4">
        <f>INFO!I7</f>
        <v>54</v>
      </c>
    </row>
    <row r="109" spans="4:5">
      <c r="D109" s="4" t="s">
        <v>172</v>
      </c>
      <c r="E109" s="4">
        <f>INFO!I7</f>
        <v>54</v>
      </c>
    </row>
    <row r="110" spans="4:5">
      <c r="D110" s="4" t="s">
        <v>173</v>
      </c>
      <c r="E110" s="4">
        <f>INFO!I7</f>
        <v>54</v>
      </c>
    </row>
    <row r="111" spans="4:5">
      <c r="D111" s="4" t="s">
        <v>174</v>
      </c>
      <c r="E111" s="4">
        <f>INFO!I7</f>
        <v>54</v>
      </c>
    </row>
    <row r="112" spans="4:5">
      <c r="D112" s="4" t="s">
        <v>175</v>
      </c>
      <c r="E112" s="4">
        <f>INFO!I7</f>
        <v>54</v>
      </c>
    </row>
    <row r="114" spans="4:5">
      <c r="D114" s="8" t="s">
        <v>176</v>
      </c>
      <c r="E114" s="8">
        <f>SUM(E115:E119)</f>
        <v>270</v>
      </c>
    </row>
    <row r="115" spans="4:5">
      <c r="D115" s="4" t="s">
        <v>66</v>
      </c>
      <c r="E115" s="4">
        <f>INFO!I7</f>
        <v>54</v>
      </c>
    </row>
    <row r="116" spans="4:5">
      <c r="D116" s="4" t="s">
        <v>177</v>
      </c>
      <c r="E116" s="4">
        <f>INFO!I7</f>
        <v>54</v>
      </c>
    </row>
    <row r="117" spans="4:5">
      <c r="D117" s="4" t="s">
        <v>178</v>
      </c>
      <c r="E117" s="4">
        <f>INFO!I7</f>
        <v>54</v>
      </c>
    </row>
    <row r="118" spans="4:5">
      <c r="D118" s="4" t="s">
        <v>179</v>
      </c>
      <c r="E118" s="4">
        <f>INFO!I7</f>
        <v>54</v>
      </c>
    </row>
    <row r="119" spans="4:5">
      <c r="D119" s="4" t="s">
        <v>180</v>
      </c>
      <c r="E119" s="4">
        <f>INFO!I7</f>
        <v>54</v>
      </c>
    </row>
    <row r="121" spans="4:5">
      <c r="D121" s="8" t="s">
        <v>167</v>
      </c>
      <c r="E121" s="8">
        <f>SUM(E122:E124)</f>
        <v>162</v>
      </c>
    </row>
    <row r="122" spans="4:5">
      <c r="D122" s="4" t="s">
        <v>66</v>
      </c>
      <c r="E122" s="4">
        <f>INFO!I7</f>
        <v>54</v>
      </c>
    </row>
    <row r="123" spans="4:5">
      <c r="D123" s="4" t="s">
        <v>181</v>
      </c>
      <c r="E123" s="4">
        <f>INFO!I7</f>
        <v>54</v>
      </c>
    </row>
    <row r="124" spans="4:5">
      <c r="D124" s="4" t="s">
        <v>182</v>
      </c>
      <c r="E124" s="4">
        <f>INFO!I7</f>
        <v>54</v>
      </c>
    </row>
    <row r="126" spans="4:5">
      <c r="D126" s="8" t="s">
        <v>168</v>
      </c>
      <c r="E126" s="8">
        <f>SUM(E127:E131)</f>
        <v>270</v>
      </c>
    </row>
    <row r="127" spans="4:5">
      <c r="D127" s="4" t="s">
        <v>66</v>
      </c>
      <c r="E127" s="4">
        <f>INFO!I7</f>
        <v>54</v>
      </c>
    </row>
    <row r="128" spans="4:5">
      <c r="D128" s="4" t="s">
        <v>183</v>
      </c>
      <c r="E128" s="4">
        <f>INFO!I7</f>
        <v>54</v>
      </c>
    </row>
    <row r="129" spans="4:5">
      <c r="D129" s="4" t="s">
        <v>184</v>
      </c>
      <c r="E129" s="4">
        <f>INFO!I7</f>
        <v>54</v>
      </c>
    </row>
    <row r="130" spans="4:5">
      <c r="D130" s="4" t="s">
        <v>185</v>
      </c>
      <c r="E130" s="4">
        <f>INFO!I7</f>
        <v>54</v>
      </c>
    </row>
    <row r="131" spans="4:5">
      <c r="D131" s="4" t="s">
        <v>186</v>
      </c>
      <c r="E131" s="4">
        <f>INFO!I7</f>
        <v>54</v>
      </c>
    </row>
    <row r="133" spans="4:5">
      <c r="D133" s="8" t="s">
        <v>169</v>
      </c>
      <c r="E133" s="8">
        <f>SUM(E134:E135)</f>
        <v>108</v>
      </c>
    </row>
    <row r="134" spans="4:5">
      <c r="D134" s="4" t="s">
        <v>66</v>
      </c>
      <c r="E134" s="4">
        <f>INFO!I7</f>
        <v>54</v>
      </c>
    </row>
    <row r="135" spans="4:5">
      <c r="D135" s="4" t="s">
        <v>187</v>
      </c>
      <c r="E135" s="4">
        <f>INFO!I7</f>
        <v>54</v>
      </c>
    </row>
    <row r="137" spans="4:5">
      <c r="D137" s="8" t="s">
        <v>170</v>
      </c>
      <c r="E137" s="8">
        <f>SUM(E138:E139)</f>
        <v>108</v>
      </c>
    </row>
    <row r="138" spans="4:5">
      <c r="D138" s="4" t="s">
        <v>66</v>
      </c>
      <c r="E138" s="4">
        <f>INFO!I7</f>
        <v>54</v>
      </c>
    </row>
    <row r="139" spans="4:5">
      <c r="D139" s="4" t="s">
        <v>188</v>
      </c>
      <c r="E139" s="4">
        <f>INFO!I7</f>
        <v>54</v>
      </c>
    </row>
    <row r="141" spans="4:5">
      <c r="D141" s="8" t="s">
        <v>195</v>
      </c>
      <c r="E141" s="8">
        <f>SUM(E142:E143)</f>
        <v>216</v>
      </c>
    </row>
    <row r="142" spans="4:5">
      <c r="D142" s="4" t="s">
        <v>66</v>
      </c>
      <c r="E142" s="4">
        <f>INFO!I7</f>
        <v>54</v>
      </c>
    </row>
    <row r="143" spans="4:5">
      <c r="D143" s="4" t="s">
        <v>196</v>
      </c>
      <c r="E143" s="4">
        <f>INFO!I7*3</f>
        <v>162</v>
      </c>
    </row>
    <row r="145" spans="4:5">
      <c r="D145" s="8" t="s">
        <v>197</v>
      </c>
      <c r="E145" s="8">
        <f>SUM(E146:E147)</f>
        <v>216</v>
      </c>
    </row>
    <row r="146" spans="4:5">
      <c r="D146" s="4" t="s">
        <v>66</v>
      </c>
      <c r="E146" s="4">
        <f>INFO!I7</f>
        <v>54</v>
      </c>
    </row>
    <row r="147" spans="4:5">
      <c r="D147" s="4" t="s">
        <v>198</v>
      </c>
      <c r="E147" s="4">
        <f>INFO!I7*3</f>
        <v>162</v>
      </c>
    </row>
    <row r="149" spans="4:5">
      <c r="D149" s="8" t="s">
        <v>199</v>
      </c>
      <c r="E149" s="8">
        <f>SUM(E150:E151)</f>
        <v>216</v>
      </c>
    </row>
    <row r="150" spans="4:5">
      <c r="D150" s="4" t="s">
        <v>66</v>
      </c>
      <c r="E150" s="4">
        <f>INFO!I7</f>
        <v>54</v>
      </c>
    </row>
    <row r="151" spans="4:5">
      <c r="D151" s="4" t="s">
        <v>200</v>
      </c>
      <c r="E151" s="4">
        <f>INFO!I7*3</f>
        <v>162</v>
      </c>
    </row>
    <row r="153" spans="4:5">
      <c r="D153" s="8" t="s">
        <v>201</v>
      </c>
      <c r="E153" s="8">
        <f>SUM(E154:E155)</f>
        <v>216</v>
      </c>
    </row>
    <row r="154" spans="4:5">
      <c r="D154" s="4" t="s">
        <v>66</v>
      </c>
      <c r="E154" s="4">
        <f>INFO!I7</f>
        <v>54</v>
      </c>
    </row>
    <row r="155" spans="4:5">
      <c r="D155" s="4" t="s">
        <v>202</v>
      </c>
      <c r="E155" s="4">
        <f>INFO!I7*3</f>
        <v>162</v>
      </c>
    </row>
    <row r="157" spans="4:5">
      <c r="D157" s="8" t="s">
        <v>203</v>
      </c>
      <c r="E157" s="8">
        <f>SUM(E158:E160)</f>
        <v>270</v>
      </c>
    </row>
    <row r="158" spans="4:5">
      <c r="D158" s="4" t="s">
        <v>66</v>
      </c>
      <c r="E158" s="4">
        <f>INFO!I7</f>
        <v>54</v>
      </c>
    </row>
    <row r="159" spans="4:5">
      <c r="D159" s="4" t="s">
        <v>204</v>
      </c>
      <c r="E159" s="4">
        <f>INFO!I7*3</f>
        <v>162</v>
      </c>
    </row>
    <row r="160" spans="4:5">
      <c r="D160" s="4" t="s">
        <v>205</v>
      </c>
      <c r="E160" s="4">
        <f>INFO!I7</f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topLeftCell="A4" zoomScale="70" zoomScaleNormal="70" workbookViewId="0">
      <selection activeCell="H11" sqref="H11"/>
    </sheetView>
  </sheetViews>
  <sheetFormatPr defaultRowHeight="15"/>
  <cols>
    <col min="1" max="1" width="10.5703125" bestFit="1" customWidth="1"/>
    <col min="2" max="2" width="5.42578125" bestFit="1" customWidth="1"/>
    <col min="3" max="3" width="2.85546875" customWidth="1"/>
    <col min="4" max="4" width="19.5703125" bestFit="1" customWidth="1"/>
    <col min="5" max="5" width="6.7109375" bestFit="1" customWidth="1"/>
    <col min="6" max="6" width="2.85546875" customWidth="1"/>
    <col min="7" max="7" width="15.28515625" bestFit="1" customWidth="1"/>
    <col min="8" max="8" width="6.7109375" bestFit="1" customWidth="1"/>
    <col min="9" max="9" width="2.5703125" customWidth="1"/>
  </cols>
  <sheetData>
    <row r="1" spans="1:8">
      <c r="A1" s="4" t="s">
        <v>68</v>
      </c>
      <c r="B1" s="4">
        <f>E1</f>
        <v>978</v>
      </c>
      <c r="D1" s="8" t="s">
        <v>68</v>
      </c>
      <c r="E1" s="8">
        <f>SUM(E2:E7)</f>
        <v>978</v>
      </c>
    </row>
    <row r="2" spans="1:8">
      <c r="A2" s="4" t="s">
        <v>89</v>
      </c>
      <c r="B2" s="4">
        <f>E18</f>
        <v>648</v>
      </c>
      <c r="D2" s="4" t="s">
        <v>69</v>
      </c>
      <c r="E2" s="4">
        <v>1</v>
      </c>
    </row>
    <row r="3" spans="1:8">
      <c r="A3" s="4" t="s">
        <v>210</v>
      </c>
      <c r="B3" s="4">
        <f>E25</f>
        <v>1095</v>
      </c>
      <c r="D3" s="4" t="s">
        <v>70</v>
      </c>
      <c r="E3" s="4">
        <v>1</v>
      </c>
    </row>
    <row r="4" spans="1:8">
      <c r="A4" s="4" t="s">
        <v>209</v>
      </c>
      <c r="B4" s="4">
        <f>E38</f>
        <v>1242</v>
      </c>
      <c r="D4" s="4" t="s">
        <v>71</v>
      </c>
      <c r="E4" s="4">
        <v>1</v>
      </c>
    </row>
    <row r="5" spans="1:8">
      <c r="A5" s="4" t="s">
        <v>208</v>
      </c>
      <c r="B5" s="4">
        <f>E47</f>
        <v>1134</v>
      </c>
      <c r="D5" s="4" t="s">
        <v>91</v>
      </c>
      <c r="E5" s="4">
        <f>CO!B2</f>
        <v>270</v>
      </c>
    </row>
    <row r="6" spans="1:8">
      <c r="A6" s="9" t="s">
        <v>212</v>
      </c>
      <c r="B6" s="4">
        <f>E9</f>
        <v>2106</v>
      </c>
      <c r="D6" s="4" t="s">
        <v>73</v>
      </c>
      <c r="E6" s="4">
        <f>CO!B1</f>
        <v>273</v>
      </c>
    </row>
    <row r="7" spans="1:8">
      <c r="A7" s="9" t="s">
        <v>218</v>
      </c>
      <c r="B7" s="4">
        <f>H9</f>
        <v>2574</v>
      </c>
      <c r="D7" s="4" t="s">
        <v>99</v>
      </c>
      <c r="E7" s="4">
        <f>CO!B9</f>
        <v>432</v>
      </c>
    </row>
    <row r="8" spans="1:8">
      <c r="A8" s="9" t="s">
        <v>216</v>
      </c>
      <c r="B8" s="4">
        <f>H18</f>
        <v>1512</v>
      </c>
    </row>
    <row r="9" spans="1:8">
      <c r="A9" s="9" t="s">
        <v>214</v>
      </c>
      <c r="B9" s="4">
        <f>H25</f>
        <v>2646</v>
      </c>
      <c r="D9" s="8" t="s">
        <v>90</v>
      </c>
      <c r="E9" s="8">
        <f>SUM(E10:E16)</f>
        <v>2106</v>
      </c>
      <c r="G9" s="8" t="s">
        <v>218</v>
      </c>
      <c r="H9" s="8">
        <f>SUM(H10:H14)</f>
        <v>2574</v>
      </c>
    </row>
    <row r="10" spans="1:8">
      <c r="D10" s="7" t="s">
        <v>92</v>
      </c>
      <c r="E10" s="4">
        <f>INFO!O10</f>
        <v>0</v>
      </c>
      <c r="G10" s="4" t="s">
        <v>221</v>
      </c>
      <c r="H10" s="4">
        <f>CO!H9</f>
        <v>378</v>
      </c>
    </row>
    <row r="11" spans="1:8">
      <c r="D11" s="4" t="s">
        <v>93</v>
      </c>
      <c r="E11" s="4">
        <f>CO!E26*3</f>
        <v>810</v>
      </c>
      <c r="G11" s="4" t="s">
        <v>235</v>
      </c>
      <c r="H11" s="4">
        <f>CO!B26*3</f>
        <v>1170</v>
      </c>
    </row>
    <row r="12" spans="1:8">
      <c r="D12" s="4" t="s">
        <v>94</v>
      </c>
      <c r="E12" s="4">
        <f>CO!E32</f>
        <v>216</v>
      </c>
      <c r="G12" s="4" t="s">
        <v>236</v>
      </c>
      <c r="H12" s="4">
        <f>CO!B28</f>
        <v>324</v>
      </c>
    </row>
    <row r="13" spans="1:8">
      <c r="D13" s="4" t="s">
        <v>95</v>
      </c>
      <c r="E13" s="4">
        <f>CO!E38</f>
        <v>108</v>
      </c>
      <c r="G13" s="4" t="s">
        <v>145</v>
      </c>
      <c r="H13" s="4">
        <f>CO!B29</f>
        <v>270</v>
      </c>
    </row>
    <row r="14" spans="1:8">
      <c r="D14" s="4" t="s">
        <v>98</v>
      </c>
      <c r="E14" s="4">
        <f>CO!E18</f>
        <v>324</v>
      </c>
      <c r="G14" s="4" t="s">
        <v>143</v>
      </c>
      <c r="H14" s="4">
        <f>CO!B9</f>
        <v>432</v>
      </c>
    </row>
    <row r="15" spans="1:8">
      <c r="D15" s="4" t="s">
        <v>96</v>
      </c>
      <c r="E15" s="4">
        <f>CO!E45</f>
        <v>378</v>
      </c>
    </row>
    <row r="16" spans="1:8">
      <c r="D16" s="4" t="s">
        <v>97</v>
      </c>
      <c r="E16" s="4">
        <f>CO!E54</f>
        <v>270</v>
      </c>
    </row>
    <row r="18" spans="4:8">
      <c r="D18" s="8" t="s">
        <v>89</v>
      </c>
      <c r="E18" s="8">
        <f>SUM(E19:E22)</f>
        <v>648</v>
      </c>
      <c r="G18" s="8" t="s">
        <v>216</v>
      </c>
      <c r="H18" s="8">
        <f>SUM(H19:H23)</f>
        <v>1512</v>
      </c>
    </row>
    <row r="19" spans="4:8">
      <c r="D19" s="4" t="s">
        <v>139</v>
      </c>
      <c r="E19" s="4">
        <f>INFO!O10</f>
        <v>0</v>
      </c>
      <c r="G19" s="4" t="s">
        <v>219</v>
      </c>
      <c r="H19" s="4">
        <f>CO!B2</f>
        <v>270</v>
      </c>
    </row>
    <row r="20" spans="4:8">
      <c r="D20" s="4" t="s">
        <v>140</v>
      </c>
      <c r="E20" s="4">
        <f>INFO!O10</f>
        <v>0</v>
      </c>
      <c r="G20" s="4" t="s">
        <v>220</v>
      </c>
      <c r="H20" s="4">
        <f>CO!B2</f>
        <v>270</v>
      </c>
    </row>
    <row r="21" spans="4:8">
      <c r="D21" s="4" t="s">
        <v>141</v>
      </c>
      <c r="E21" s="4">
        <f>CO!E61</f>
        <v>216</v>
      </c>
      <c r="G21" s="4" t="s">
        <v>98</v>
      </c>
      <c r="H21" s="4">
        <f>CO!B3</f>
        <v>324</v>
      </c>
    </row>
    <row r="22" spans="4:8">
      <c r="D22" s="4" t="s">
        <v>142</v>
      </c>
      <c r="E22" s="4">
        <f>CO!E67</f>
        <v>432</v>
      </c>
      <c r="G22" s="4" t="s">
        <v>217</v>
      </c>
      <c r="H22" s="4">
        <f>CO!B8</f>
        <v>216</v>
      </c>
    </row>
    <row r="23" spans="4:8">
      <c r="G23" s="4" t="s">
        <v>99</v>
      </c>
      <c r="H23" s="4">
        <f>CO!B9</f>
        <v>432</v>
      </c>
    </row>
    <row r="25" spans="4:8">
      <c r="D25" s="8" t="s">
        <v>102</v>
      </c>
      <c r="E25" s="8">
        <v>1095</v>
      </c>
      <c r="G25" s="8" t="s">
        <v>214</v>
      </c>
      <c r="H25" s="8">
        <f>SUM(H26:H36)</f>
        <v>2646</v>
      </c>
    </row>
    <row r="26" spans="4:8">
      <c r="D26" s="4" t="s">
        <v>92</v>
      </c>
      <c r="E26" s="4">
        <f>INFO!O10</f>
        <v>0</v>
      </c>
      <c r="G26" s="4" t="s">
        <v>91</v>
      </c>
      <c r="H26" s="4">
        <f>CO!B2</f>
        <v>270</v>
      </c>
    </row>
    <row r="27" spans="4:8">
      <c r="D27" s="4" t="s">
        <v>103</v>
      </c>
      <c r="E27" s="4">
        <f>CO!E77</f>
        <v>324</v>
      </c>
      <c r="G27" s="4" t="s">
        <v>103</v>
      </c>
      <c r="H27" s="4">
        <f>CO!B10</f>
        <v>324</v>
      </c>
    </row>
    <row r="28" spans="4:8">
      <c r="D28" s="4" t="s">
        <v>104</v>
      </c>
      <c r="E28" s="4">
        <f>CO!E85</f>
        <v>162</v>
      </c>
      <c r="G28" s="4" t="s">
        <v>104</v>
      </c>
      <c r="H28" s="4">
        <f>CO!B11</f>
        <v>162</v>
      </c>
    </row>
    <row r="29" spans="4:8">
      <c r="D29" s="4" t="s">
        <v>105</v>
      </c>
      <c r="E29" s="4">
        <f>CO!E90</f>
        <v>270</v>
      </c>
      <c r="G29" s="4" t="s">
        <v>105</v>
      </c>
      <c r="H29" s="4">
        <f>CO!B12</f>
        <v>270</v>
      </c>
    </row>
    <row r="30" spans="4:8">
      <c r="D30" s="4" t="s">
        <v>106</v>
      </c>
      <c r="E30" s="4">
        <f>CO!E97</f>
        <v>378</v>
      </c>
      <c r="G30" s="4" t="s">
        <v>106</v>
      </c>
      <c r="H30" s="4">
        <f>CO!B13</f>
        <v>378</v>
      </c>
    </row>
    <row r="31" spans="4:8">
      <c r="G31" s="4" t="s">
        <v>165</v>
      </c>
      <c r="H31" s="4">
        <f>CO!B14</f>
        <v>324</v>
      </c>
    </row>
    <row r="32" spans="4:8">
      <c r="G32" s="4" t="s">
        <v>176</v>
      </c>
      <c r="H32" s="4">
        <f>CO!B15</f>
        <v>270</v>
      </c>
    </row>
    <row r="33" spans="4:8">
      <c r="G33" s="4" t="s">
        <v>167</v>
      </c>
      <c r="H33" s="4">
        <f>CO!B16</f>
        <v>162</v>
      </c>
    </row>
    <row r="34" spans="4:8">
      <c r="G34" s="4" t="s">
        <v>168</v>
      </c>
      <c r="H34" s="4">
        <f>CO!B17</f>
        <v>270</v>
      </c>
    </row>
    <row r="35" spans="4:8">
      <c r="G35" s="4" t="s">
        <v>169</v>
      </c>
      <c r="H35" s="4">
        <f>CO!B18</f>
        <v>108</v>
      </c>
    </row>
    <row r="36" spans="4:8">
      <c r="G36" s="4" t="s">
        <v>170</v>
      </c>
      <c r="H36" s="4">
        <f>CO!B19</f>
        <v>108</v>
      </c>
    </row>
    <row r="38" spans="4:8">
      <c r="D38" s="8" t="s">
        <v>101</v>
      </c>
      <c r="E38" s="8">
        <f>SUM(E39:E45)</f>
        <v>1242</v>
      </c>
    </row>
    <row r="39" spans="4:8">
      <c r="D39" s="4" t="s">
        <v>139</v>
      </c>
      <c r="E39" s="4">
        <f>INFO!O10</f>
        <v>0</v>
      </c>
    </row>
    <row r="40" spans="4:8">
      <c r="D40" s="4" t="s">
        <v>165</v>
      </c>
      <c r="E40" s="4">
        <f>CO!E106</f>
        <v>324</v>
      </c>
    </row>
    <row r="41" spans="4:8">
      <c r="D41" s="4" t="s">
        <v>166</v>
      </c>
      <c r="E41" s="4">
        <f>CO!E114</f>
        <v>270</v>
      </c>
    </row>
    <row r="42" spans="4:8">
      <c r="D42" s="4" t="s">
        <v>167</v>
      </c>
      <c r="E42" s="4">
        <f>CO!E121</f>
        <v>162</v>
      </c>
    </row>
    <row r="43" spans="4:8">
      <c r="D43" s="4" t="s">
        <v>168</v>
      </c>
      <c r="E43" s="4">
        <f>CO!E126</f>
        <v>270</v>
      </c>
    </row>
    <row r="44" spans="4:8">
      <c r="D44" s="4" t="s">
        <v>169</v>
      </c>
      <c r="E44" s="4">
        <f>CO!E133</f>
        <v>108</v>
      </c>
    </row>
    <row r="45" spans="4:8">
      <c r="D45" s="4" t="s">
        <v>170</v>
      </c>
      <c r="E45" s="4">
        <f>CO!E137</f>
        <v>108</v>
      </c>
    </row>
    <row r="47" spans="4:8">
      <c r="D47" s="8" t="s">
        <v>189</v>
      </c>
      <c r="E47" s="8">
        <f>SUM(E48:E53)</f>
        <v>1134</v>
      </c>
    </row>
    <row r="48" spans="4:8">
      <c r="D48" s="4" t="s">
        <v>91</v>
      </c>
      <c r="E48" s="4">
        <f>INFO!O10</f>
        <v>0</v>
      </c>
    </row>
    <row r="49" spans="4:5">
      <c r="D49" s="4" t="s">
        <v>190</v>
      </c>
      <c r="E49" s="4">
        <f>CO!E141</f>
        <v>216</v>
      </c>
    </row>
    <row r="50" spans="4:5">
      <c r="D50" s="4" t="s">
        <v>191</v>
      </c>
      <c r="E50" s="4">
        <f>CO!E145</f>
        <v>216</v>
      </c>
    </row>
    <row r="51" spans="4:5">
      <c r="D51" s="4" t="s">
        <v>192</v>
      </c>
      <c r="E51" s="4">
        <f>CO!E149</f>
        <v>216</v>
      </c>
    </row>
    <row r="52" spans="4:5">
      <c r="D52" s="4" t="s">
        <v>193</v>
      </c>
      <c r="E52" s="4">
        <f>CO!E153</f>
        <v>216</v>
      </c>
    </row>
    <row r="53" spans="4:5">
      <c r="D53" s="4" t="s">
        <v>194</v>
      </c>
      <c r="E53" s="4">
        <f>CO!E157</f>
        <v>270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zoomScale="70" zoomScaleNormal="70" workbookViewId="0">
      <selection activeCell="D21" sqref="D21"/>
    </sheetView>
  </sheetViews>
  <sheetFormatPr defaultRowHeight="15"/>
  <cols>
    <col min="1" max="1" width="10.7109375" bestFit="1" customWidth="1"/>
    <col min="2" max="2" width="6.5703125" bestFit="1" customWidth="1"/>
    <col min="3" max="3" width="2.85546875" customWidth="1"/>
    <col min="4" max="4" width="14.28515625" bestFit="1" customWidth="1"/>
    <col min="5" max="5" width="7.85546875" bestFit="1" customWidth="1"/>
  </cols>
  <sheetData>
    <row r="1" spans="1:5">
      <c r="A1" s="4" t="s">
        <v>74</v>
      </c>
      <c r="B1" s="4">
        <f>E1</f>
        <v>4680</v>
      </c>
      <c r="D1" s="8" t="s">
        <v>74</v>
      </c>
      <c r="E1" s="8">
        <f>SUM(E2:E7)</f>
        <v>4680</v>
      </c>
    </row>
    <row r="2" spans="1:5">
      <c r="A2" s="4" t="s">
        <v>211</v>
      </c>
      <c r="B2" s="4">
        <f>E9</f>
        <v>10887</v>
      </c>
      <c r="D2" s="4" t="s">
        <v>75</v>
      </c>
      <c r="E2" s="4">
        <v>1</v>
      </c>
    </row>
    <row r="3" spans="1:5">
      <c r="A3" s="4" t="s">
        <v>213</v>
      </c>
      <c r="B3" s="4">
        <f>E16</f>
        <v>11880</v>
      </c>
      <c r="D3" s="4" t="s">
        <v>76</v>
      </c>
      <c r="E3" s="4">
        <v>1</v>
      </c>
    </row>
    <row r="4" spans="1:5">
      <c r="D4" s="4" t="s">
        <v>77</v>
      </c>
      <c r="E4" s="4">
        <v>1</v>
      </c>
    </row>
    <row r="5" spans="1:5">
      <c r="D5" s="4" t="s">
        <v>86</v>
      </c>
      <c r="E5" s="4">
        <f>BN!B2</f>
        <v>648</v>
      </c>
    </row>
    <row r="6" spans="1:5">
      <c r="D6" s="4" t="s">
        <v>78</v>
      </c>
      <c r="E6" s="4">
        <f>BN!B1*3</f>
        <v>2934</v>
      </c>
    </row>
    <row r="7" spans="1:5">
      <c r="D7" s="4" t="s">
        <v>100</v>
      </c>
      <c r="E7" s="4">
        <f>BN!B3</f>
        <v>1095</v>
      </c>
    </row>
    <row r="9" spans="1:5">
      <c r="D9" s="8" t="s">
        <v>211</v>
      </c>
      <c r="E9" s="8">
        <f>SUM(E10:E14)</f>
        <v>10887</v>
      </c>
    </row>
    <row r="10" spans="1:5">
      <c r="D10" s="4" t="s">
        <v>86</v>
      </c>
      <c r="E10" s="4">
        <f>INFO!I18</f>
        <v>1098</v>
      </c>
    </row>
    <row r="11" spans="1:5">
      <c r="D11" s="4" t="s">
        <v>87</v>
      </c>
      <c r="E11" s="4">
        <f>BN!B6*3</f>
        <v>6318</v>
      </c>
    </row>
    <row r="12" spans="1:5">
      <c r="D12" s="4" t="s">
        <v>88</v>
      </c>
      <c r="E12" s="4">
        <f>BN!B4</f>
        <v>1242</v>
      </c>
    </row>
    <row r="13" spans="1:5">
      <c r="D13" s="4" t="s">
        <v>208</v>
      </c>
      <c r="E13" s="4">
        <f>BN!B5</f>
        <v>1134</v>
      </c>
    </row>
    <row r="14" spans="1:5">
      <c r="D14" s="4" t="s">
        <v>50</v>
      </c>
      <c r="E14" s="4">
        <f>BN!B3</f>
        <v>1095</v>
      </c>
    </row>
    <row r="16" spans="1:5">
      <c r="D16" s="8" t="s">
        <v>213</v>
      </c>
      <c r="E16" s="8">
        <f>SUM(E17:E19)</f>
        <v>11880</v>
      </c>
    </row>
    <row r="17" spans="4:5">
      <c r="D17" s="4" t="s">
        <v>216</v>
      </c>
      <c r="E17" s="4">
        <f>BN!H18</f>
        <v>1512</v>
      </c>
    </row>
    <row r="18" spans="4:5">
      <c r="D18" s="4" t="s">
        <v>215</v>
      </c>
      <c r="E18" s="4">
        <f>BN!H9*3</f>
        <v>7722</v>
      </c>
    </row>
    <row r="19" spans="4:5">
      <c r="D19" s="4" t="s">
        <v>214</v>
      </c>
      <c r="E19" s="4">
        <f>BN!H25</f>
        <v>2646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PLT(-)</vt:lpstr>
      <vt:lpstr>CO</vt:lpstr>
      <vt:lpstr>BN</vt:lpstr>
      <vt:lpstr>BDE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jmadden</dc:creator>
  <cp:lastModifiedBy>jmadden</cp:lastModifiedBy>
  <dcterms:created xsi:type="dcterms:W3CDTF">2009-08-07T21:38:30Z</dcterms:created>
  <dcterms:modified xsi:type="dcterms:W3CDTF">2009-08-10T00:10:31Z</dcterms:modified>
</cp:coreProperties>
</file>