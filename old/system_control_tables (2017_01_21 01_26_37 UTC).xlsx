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02c20099c48114e8/Documents/"/>
    </mc:Choice>
  </mc:AlternateContent>
  <bookViews>
    <workbookView xWindow="0" yWindow="0" windowWidth="28770" windowHeight="12360" activeTab="1"/>
  </bookViews>
  <sheets>
    <sheet name="System Bodies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L3" i="2"/>
  <c r="M3" i="2" s="1"/>
  <c r="E4" i="2"/>
  <c r="F4" i="2"/>
  <c r="I4" i="2"/>
  <c r="K4" i="2"/>
  <c r="L4" i="2"/>
  <c r="M4" i="2" s="1"/>
  <c r="E5" i="2"/>
  <c r="F5" i="2" s="1"/>
  <c r="I5" i="2"/>
  <c r="K5" i="2"/>
  <c r="L5" i="2"/>
  <c r="M5" i="2" s="1"/>
  <c r="E6" i="2"/>
  <c r="F6" i="2" s="1"/>
  <c r="I6" i="2"/>
  <c r="K6" i="2"/>
  <c r="L6" i="2"/>
  <c r="M6" i="2"/>
  <c r="E7" i="2"/>
  <c r="F7" i="2" s="1"/>
  <c r="I7" i="2"/>
  <c r="K7" i="2"/>
  <c r="L7" i="2"/>
  <c r="M7" i="2" s="1"/>
  <c r="E8" i="2"/>
  <c r="F8" i="2"/>
  <c r="I8" i="2"/>
  <c r="E9" i="2"/>
  <c r="F9" i="2"/>
  <c r="I9" i="2"/>
  <c r="K9" i="2"/>
  <c r="L9" i="2"/>
  <c r="M9" i="2"/>
  <c r="E10" i="2"/>
  <c r="F10" i="2"/>
  <c r="I10" i="2"/>
  <c r="K10" i="2"/>
  <c r="L10" i="2"/>
  <c r="M10" i="2"/>
  <c r="E11" i="2"/>
  <c r="F11" i="2"/>
  <c r="I11" i="2"/>
  <c r="K11" i="2"/>
  <c r="L11" i="2"/>
  <c r="M11" i="2"/>
  <c r="E12" i="2"/>
  <c r="F12" i="2"/>
  <c r="I12" i="2"/>
  <c r="K12" i="2"/>
  <c r="L12" i="2"/>
  <c r="M12" i="2"/>
  <c r="E13" i="2"/>
  <c r="F13" i="2"/>
  <c r="I13" i="2"/>
  <c r="G14" i="1" l="1"/>
  <c r="H14" i="1"/>
  <c r="F14" i="1"/>
  <c r="G13" i="1"/>
  <c r="H13" i="1"/>
  <c r="F13" i="1"/>
  <c r="H12" i="1"/>
  <c r="G12" i="1"/>
  <c r="F12" i="1"/>
  <c r="H49" i="1"/>
  <c r="G49" i="1"/>
  <c r="F49" i="1"/>
  <c r="F50" i="1" s="1"/>
  <c r="H48" i="1"/>
  <c r="G48" i="1"/>
  <c r="F48" i="1"/>
  <c r="F41" i="1"/>
  <c r="G41" i="1"/>
  <c r="H41" i="1"/>
  <c r="F42" i="1"/>
  <c r="G42" i="1"/>
  <c r="G50" i="1" s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H50" i="1"/>
  <c r="H40" i="1"/>
  <c r="G40" i="1"/>
  <c r="F40" i="1"/>
  <c r="H39" i="1"/>
  <c r="G39" i="1"/>
  <c r="F39" i="1"/>
  <c r="H38" i="1"/>
  <c r="G38" i="1"/>
  <c r="F38" i="1"/>
  <c r="H37" i="1"/>
  <c r="G37" i="1"/>
  <c r="F37" i="1"/>
  <c r="H35" i="1"/>
  <c r="G35" i="1"/>
  <c r="F35" i="1"/>
  <c r="H29" i="1"/>
  <c r="G29" i="1"/>
  <c r="F29" i="1"/>
  <c r="H21" i="1"/>
  <c r="G21" i="1"/>
  <c r="F21" i="1"/>
  <c r="H16" i="1"/>
  <c r="G16" i="1"/>
  <c r="F16" i="1"/>
  <c r="H15" i="1"/>
  <c r="G15" i="1"/>
  <c r="F15" i="1"/>
  <c r="H11" i="1"/>
  <c r="G11" i="1"/>
  <c r="F11" i="1"/>
  <c r="H8" i="1"/>
  <c r="G8" i="1"/>
  <c r="F8" i="1"/>
  <c r="H6" i="1"/>
  <c r="G6" i="1"/>
  <c r="F6" i="1"/>
  <c r="H5" i="1"/>
  <c r="G5" i="1"/>
  <c r="F5" i="1"/>
  <c r="G4" i="1"/>
  <c r="H4" i="1"/>
  <c r="C54" i="1"/>
  <c r="D50" i="1"/>
  <c r="D51" i="1" s="1"/>
  <c r="D52" i="1" s="1"/>
  <c r="E50" i="1"/>
  <c r="E51" i="1" s="1"/>
  <c r="E52" i="1" s="1"/>
  <c r="C52" i="1"/>
  <c r="C51" i="1"/>
  <c r="C50" i="1"/>
  <c r="H36" i="1" l="1"/>
  <c r="F4" i="1"/>
  <c r="F36" i="1"/>
  <c r="G36" i="1"/>
  <c r="H3" i="1"/>
  <c r="G3" i="1"/>
  <c r="F3" i="1"/>
  <c r="M3" i="1"/>
  <c r="O3" i="1" s="1"/>
  <c r="L3" i="1"/>
  <c r="N11" i="1"/>
  <c r="O11" i="1"/>
  <c r="N36" i="1"/>
  <c r="O36" i="1"/>
  <c r="N47" i="1"/>
  <c r="O47" i="1"/>
  <c r="L49" i="1"/>
  <c r="M49" i="1"/>
  <c r="N49" i="1" s="1"/>
  <c r="J49" i="1"/>
  <c r="L46" i="1"/>
  <c r="M46" i="1"/>
  <c r="N46" i="1" s="1"/>
  <c r="L45" i="1"/>
  <c r="M45" i="1"/>
  <c r="N45" i="1" s="1"/>
  <c r="J45" i="1"/>
  <c r="L44" i="1"/>
  <c r="M44" i="1"/>
  <c r="N44" i="1" s="1"/>
  <c r="L48" i="1"/>
  <c r="M48" i="1"/>
  <c r="N48" i="1" s="1"/>
  <c r="J48" i="1"/>
  <c r="L43" i="1"/>
  <c r="M43" i="1"/>
  <c r="N43" i="1" s="1"/>
  <c r="L42" i="1"/>
  <c r="M42" i="1"/>
  <c r="N42" i="1" s="1"/>
  <c r="M41" i="1"/>
  <c r="N41" i="1" s="1"/>
  <c r="L41" i="1"/>
  <c r="L39" i="1"/>
  <c r="M39" i="1"/>
  <c r="N39" i="1" s="1"/>
  <c r="L38" i="1"/>
  <c r="M38" i="1"/>
  <c r="N38" i="1" s="1"/>
  <c r="L40" i="1"/>
  <c r="M40" i="1"/>
  <c r="N40" i="1" s="1"/>
  <c r="L37" i="1"/>
  <c r="M37" i="1"/>
  <c r="N37" i="1" s="1"/>
  <c r="L35" i="1"/>
  <c r="M35" i="1"/>
  <c r="N35" i="1" s="1"/>
  <c r="M34" i="1"/>
  <c r="N34" i="1" s="1"/>
  <c r="L34" i="1"/>
  <c r="L33" i="1"/>
  <c r="M33" i="1"/>
  <c r="N33" i="1" s="1"/>
  <c r="L32" i="1"/>
  <c r="M32" i="1"/>
  <c r="N32" i="1" s="1"/>
  <c r="L31" i="1"/>
  <c r="M31" i="1"/>
  <c r="N31" i="1" s="1"/>
  <c r="L30" i="1"/>
  <c r="M30" i="1"/>
  <c r="N30" i="1" s="1"/>
  <c r="L29" i="1"/>
  <c r="M29" i="1"/>
  <c r="N29" i="1" s="1"/>
  <c r="L28" i="1"/>
  <c r="M28" i="1"/>
  <c r="N28" i="1" s="1"/>
  <c r="L27" i="1"/>
  <c r="M27" i="1"/>
  <c r="N27" i="1" s="1"/>
  <c r="L26" i="1"/>
  <c r="M26" i="1"/>
  <c r="N26" i="1" s="1"/>
  <c r="L25" i="1"/>
  <c r="M25" i="1"/>
  <c r="N25" i="1" s="1"/>
  <c r="L24" i="1"/>
  <c r="M24" i="1"/>
  <c r="N24" i="1" s="1"/>
  <c r="L23" i="1"/>
  <c r="M23" i="1"/>
  <c r="N23" i="1" s="1"/>
  <c r="L22" i="1"/>
  <c r="M22" i="1"/>
  <c r="N22" i="1" s="1"/>
  <c r="L21" i="1"/>
  <c r="M21" i="1"/>
  <c r="N21" i="1" s="1"/>
  <c r="L20" i="1"/>
  <c r="M20" i="1"/>
  <c r="N20" i="1" s="1"/>
  <c r="L19" i="1"/>
  <c r="M19" i="1"/>
  <c r="N19" i="1" s="1"/>
  <c r="L18" i="1"/>
  <c r="M18" i="1"/>
  <c r="N18" i="1" s="1"/>
  <c r="L17" i="1"/>
  <c r="M17" i="1"/>
  <c r="N17" i="1" s="1"/>
  <c r="L16" i="1"/>
  <c r="M16" i="1"/>
  <c r="N16" i="1" s="1"/>
  <c r="L15" i="1"/>
  <c r="M15" i="1"/>
  <c r="N15" i="1" s="1"/>
  <c r="L10" i="1"/>
  <c r="M10" i="1"/>
  <c r="N10" i="1" s="1"/>
  <c r="Q9" i="1"/>
  <c r="L9" i="1"/>
  <c r="M9" i="1"/>
  <c r="N9" i="1" s="1"/>
  <c r="L8" i="1"/>
  <c r="M8" i="1"/>
  <c r="N8" i="1" s="1"/>
  <c r="L7" i="1"/>
  <c r="M7" i="1"/>
  <c r="N7" i="1" s="1"/>
  <c r="L6" i="1"/>
  <c r="M6" i="1"/>
  <c r="N6" i="1" s="1"/>
  <c r="M5" i="1"/>
  <c r="N5" i="1" s="1"/>
  <c r="L5" i="1"/>
  <c r="M4" i="1"/>
  <c r="O4" i="1" s="1"/>
  <c r="L4" i="1"/>
  <c r="G51" i="1" l="1"/>
  <c r="G52" i="1" s="1"/>
  <c r="H51" i="1"/>
  <c r="H52" i="1" s="1"/>
  <c r="F51" i="1"/>
  <c r="F52" i="1" s="1"/>
  <c r="O43" i="1"/>
  <c r="O39" i="1"/>
  <c r="O35" i="1"/>
  <c r="O31" i="1"/>
  <c r="O27" i="1"/>
  <c r="O23" i="1"/>
  <c r="O19" i="1"/>
  <c r="O15" i="1"/>
  <c r="O8" i="1"/>
  <c r="N4" i="1"/>
  <c r="O46" i="1"/>
  <c r="O42" i="1"/>
  <c r="O38" i="1"/>
  <c r="O34" i="1"/>
  <c r="O30" i="1"/>
  <c r="O26" i="1"/>
  <c r="O22" i="1"/>
  <c r="O18" i="1"/>
  <c r="O7" i="1"/>
  <c r="N3" i="1"/>
  <c r="O49" i="1"/>
  <c r="O45" i="1"/>
  <c r="O41" i="1"/>
  <c r="O37" i="1"/>
  <c r="O33" i="1"/>
  <c r="O29" i="1"/>
  <c r="O25" i="1"/>
  <c r="O21" i="1"/>
  <c r="O17" i="1"/>
  <c r="O10" i="1"/>
  <c r="O6" i="1"/>
  <c r="O48" i="1"/>
  <c r="O44" i="1"/>
  <c r="O40" i="1"/>
  <c r="O32" i="1"/>
  <c r="O28" i="1"/>
  <c r="O24" i="1"/>
  <c r="O20" i="1"/>
  <c r="O16" i="1"/>
  <c r="O9" i="1"/>
  <c r="O5" i="1"/>
</calcChain>
</file>

<file path=xl/sharedStrings.xml><?xml version="1.0" encoding="utf-8"?>
<sst xmlns="http://schemas.openxmlformats.org/spreadsheetml/2006/main" count="291" uniqueCount="128">
  <si>
    <t>Sun</t>
  </si>
  <si>
    <t>Mercury</t>
  </si>
  <si>
    <t>Venus</t>
  </si>
  <si>
    <t>Mars</t>
  </si>
  <si>
    <t>Earth</t>
  </si>
  <si>
    <t>Luna</t>
  </si>
  <si>
    <t>Asteroid Belt Zones</t>
  </si>
  <si>
    <t>Jupiter</t>
  </si>
  <si>
    <t>Saturn</t>
  </si>
  <si>
    <t>Neptune</t>
  </si>
  <si>
    <t>Uranus</t>
  </si>
  <si>
    <t>Pluto</t>
  </si>
  <si>
    <t>Haumea</t>
  </si>
  <si>
    <t>Makemake</t>
  </si>
  <si>
    <t>Ceres</t>
  </si>
  <si>
    <t>Radius</t>
  </si>
  <si>
    <t>Diameter</t>
  </si>
  <si>
    <t>Circumference</t>
  </si>
  <si>
    <t>Eris</t>
  </si>
  <si>
    <t>Semi-Major Axis</t>
  </si>
  <si>
    <t>Kuiper Belt</t>
  </si>
  <si>
    <t>Oort Cloud</t>
  </si>
  <si>
    <t>Eccentricity</t>
  </si>
  <si>
    <t>(km)</t>
  </si>
  <si>
    <t>(d)</t>
  </si>
  <si>
    <t>Orbital Period</t>
  </si>
  <si>
    <t>Phobos</t>
  </si>
  <si>
    <t>Deimos</t>
  </si>
  <si>
    <t>Surface Gravity</t>
  </si>
  <si>
    <t>Escape Velocity</t>
  </si>
  <si>
    <t>km/s</t>
  </si>
  <si>
    <t>m/s2</t>
  </si>
  <si>
    <t>Mean Temp</t>
  </si>
  <si>
    <t>Surface Atmo Pressure</t>
  </si>
  <si>
    <t>Atmo Type</t>
  </si>
  <si>
    <t>K</t>
  </si>
  <si>
    <t>CO2/N2</t>
  </si>
  <si>
    <t>trace</t>
  </si>
  <si>
    <t>N2/O2</t>
  </si>
  <si>
    <t>kPa</t>
  </si>
  <si>
    <t>CO2</t>
  </si>
  <si>
    <t>Aphelion/Apoapsis</t>
  </si>
  <si>
    <t>Perihelion/Periapsis</t>
  </si>
  <si>
    <t>none</t>
  </si>
  <si>
    <t>75% c-type; 17% s-type; 10% m-type; approx. 150 asteroidsper 0.0005 AU</t>
  </si>
  <si>
    <t>noe</t>
  </si>
  <si>
    <t>n/a</t>
  </si>
  <si>
    <t>20-200</t>
  </si>
  <si>
    <t>H2/He</t>
  </si>
  <si>
    <t>gas giant</t>
  </si>
  <si>
    <t>Io</t>
  </si>
  <si>
    <t>SO2</t>
  </si>
  <si>
    <t>jovian moon</t>
  </si>
  <si>
    <t>asteroid belt</t>
  </si>
  <si>
    <t>Europa</t>
  </si>
  <si>
    <t>unk</t>
  </si>
  <si>
    <t>gas giant; 67 known small satellites</t>
  </si>
  <si>
    <t>Ganymede</t>
  </si>
  <si>
    <t>O2</t>
  </si>
  <si>
    <t>Callisto</t>
  </si>
  <si>
    <t>H2</t>
  </si>
  <si>
    <t>Mimas</t>
  </si>
  <si>
    <t>saturnian moon</t>
  </si>
  <si>
    <t>Enceladus</t>
  </si>
  <si>
    <t>Tethys</t>
  </si>
  <si>
    <t>Dione</t>
  </si>
  <si>
    <t>Rhea</t>
  </si>
  <si>
    <t>Titan</t>
  </si>
  <si>
    <t>N2</t>
  </si>
  <si>
    <t>Iapetus</t>
  </si>
  <si>
    <t>property</t>
  </si>
  <si>
    <t>unit</t>
  </si>
  <si>
    <t>Miranda</t>
  </si>
  <si>
    <t>uranian moon</t>
  </si>
  <si>
    <t>Ariel</t>
  </si>
  <si>
    <t>Umbriel</t>
  </si>
  <si>
    <t>Titania</t>
  </si>
  <si>
    <t>Oberon</t>
  </si>
  <si>
    <t>gas giant; 14 known small satellites</t>
  </si>
  <si>
    <t>icy object belt</t>
  </si>
  <si>
    <t>N2,CH4, C</t>
  </si>
  <si>
    <t>TNO</t>
  </si>
  <si>
    <t>Quaoar</t>
  </si>
  <si>
    <t>KBO</t>
  </si>
  <si>
    <t>1 small satellite; KBO</t>
  </si>
  <si>
    <t>2 small satellites; KBO</t>
  </si>
  <si>
    <t>4 small satellites; TNO/KBO</t>
  </si>
  <si>
    <t>Lat Tiles</t>
  </si>
  <si>
    <t>Lon Tiles</t>
  </si>
  <si>
    <t>Ixion</t>
  </si>
  <si>
    <t>Varuna</t>
  </si>
  <si>
    <t>Sedna</t>
  </si>
  <si>
    <t>Oort cloud object</t>
  </si>
  <si>
    <t>Orcus</t>
  </si>
  <si>
    <t>2002 MS4</t>
  </si>
  <si>
    <t>Salacia</t>
  </si>
  <si>
    <t>2007OR10</t>
  </si>
  <si>
    <t>SDO</t>
  </si>
  <si>
    <t>star</t>
  </si>
  <si>
    <t>Tile Size (km)</t>
  </si>
  <si>
    <t>Planet Radius Quotient (km)</t>
  </si>
  <si>
    <t>Moon Radius Quotient (km)</t>
  </si>
  <si>
    <t>MAX</t>
  </si>
  <si>
    <t>MIN</t>
  </si>
  <si>
    <t>MEDIAN</t>
  </si>
  <si>
    <t>y = 1 + (x-A)*(10-1)/(B-A)</t>
  </si>
  <si>
    <t>top number divisor</t>
  </si>
  <si>
    <t>screen width</t>
  </si>
  <si>
    <t>Norm Aphelion</t>
  </si>
  <si>
    <t>Norm Perihelion</t>
  </si>
  <si>
    <t>Norm SMA</t>
  </si>
  <si>
    <t>Inner Planets Max</t>
  </si>
  <si>
    <t>Inner Planets Min</t>
  </si>
  <si>
    <t>Inner Planets Median</t>
  </si>
  <si>
    <t>Notes</t>
  </si>
  <si>
    <t xml:space="preserve">  </t>
  </si>
  <si>
    <t>4. add the number of 10s places to the previous orbital position</t>
  </si>
  <si>
    <t>3. get the number of 10's places</t>
  </si>
  <si>
    <t>2. divide by the lowest power of 10</t>
  </si>
  <si>
    <t>1. average the aphelion, perihelion, and SMA</t>
  </si>
  <si>
    <t>number of 10s places</t>
  </si>
  <si>
    <t>reduced</t>
  </si>
  <si>
    <t>diameter</t>
  </si>
  <si>
    <t>circumference</t>
  </si>
  <si>
    <t>radius</t>
  </si>
  <si>
    <t>adjusted for diameter</t>
  </si>
  <si>
    <t>number of non-decimal powers of 10</t>
  </si>
  <si>
    <t>Avg of the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</si>
</sst>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11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1" fontId="1" fillId="0" borderId="0" xfId="0" applyNumberFormat="1" applyFont="1" applyAlignment="1">
      <alignment vertical="top" wrapText="1"/>
    </xf>
    <xf numFmtId="1" fontId="0" fillId="2" borderId="0" xfId="0" applyNumberForma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11" fontId="0" fillId="3" borderId="0" xfId="0" applyNumberFormat="1" applyFill="1" applyAlignment="1">
      <alignment vertical="top" wrapText="1"/>
    </xf>
    <xf numFmtId="1" fontId="0" fillId="3" borderId="0" xfId="0" applyNumberFormat="1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5" fontId="0" fillId="3" borderId="0" xfId="0" applyNumberFormat="1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5" fillId="4" borderId="0" xfId="0" applyFont="1" applyFill="1" applyAlignment="1">
      <alignment vertical="top" wrapText="1"/>
    </xf>
    <xf numFmtId="1" fontId="5" fillId="4" borderId="0" xfId="0" applyNumberFormat="1" applyFont="1" applyFill="1" applyAlignment="1">
      <alignment vertical="top" wrapText="1"/>
    </xf>
    <xf numFmtId="164" fontId="5" fillId="4" borderId="0" xfId="0" applyNumberFormat="1" applyFont="1" applyFill="1" applyAlignment="1">
      <alignment vertical="top" wrapText="1"/>
    </xf>
    <xf numFmtId="165" fontId="5" fillId="4" borderId="0" xfId="0" applyNumberFormat="1" applyFont="1" applyFill="1" applyAlignment="1">
      <alignment vertical="top" wrapText="1"/>
    </xf>
    <xf numFmtId="1" fontId="0" fillId="0" borderId="0" xfId="0" applyNumberFormat="1" applyAlignment="1"/>
    <xf numFmtId="0" fontId="0" fillId="0" borderId="0" xfId="0" applyAlignment="1"/>
    <xf numFmtId="2" fontId="0" fillId="0" borderId="0" xfId="0" applyNumberFormat="1"/>
    <xf numFmtId="11" fontId="0" fillId="0" borderId="0" xfId="0" applyNumberFormat="1"/>
    <xf numFmtId="0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0"/>
  <sheetViews>
    <sheetView zoomScale="85" zoomScaleNormal="85" workbookViewId="0">
      <selection activeCell="K35" sqref="K35:M35"/>
    </sheetView>
  </sheetViews>
  <sheetFormatPr defaultRowHeight="15" x14ac:dyDescent="0.25"/>
  <cols>
    <col min="1" max="1" width="3.140625" customWidth="1"/>
    <col min="2" max="2" width="22.42578125" style="5" bestFit="1" customWidth="1"/>
    <col min="3" max="3" width="9.140625" style="5" bestFit="1" customWidth="1"/>
    <col min="4" max="4" width="10.28515625" style="5" bestFit="1" customWidth="1"/>
    <col min="5" max="5" width="10.7109375" style="5" customWidth="1"/>
    <col min="6" max="6" width="8.42578125" style="9" bestFit="1" customWidth="1"/>
    <col min="7" max="7" width="9.42578125" style="9" bestFit="1" customWidth="1"/>
    <col min="8" max="8" width="6.7109375" style="9" customWidth="1"/>
    <col min="9" max="9" width="11.7109375" style="7" bestFit="1" customWidth="1"/>
    <col min="10" max="10" width="11.7109375" style="8" bestFit="1" customWidth="1"/>
    <col min="11" max="11" width="6.85546875" style="5" bestFit="1" customWidth="1"/>
    <col min="12" max="12" width="9.28515625" style="5" bestFit="1" customWidth="1"/>
    <col min="13" max="13" width="14.140625" style="5" bestFit="1" customWidth="1"/>
    <col min="14" max="15" width="8.7109375" style="5" bestFit="1" customWidth="1"/>
    <col min="16" max="16" width="7.5703125" style="6" bestFit="1" customWidth="1"/>
    <col min="17" max="17" width="8.28515625" style="6" bestFit="1" customWidth="1"/>
    <col min="18" max="18" width="6.140625" style="6" bestFit="1" customWidth="1"/>
    <col min="19" max="19" width="10.28515625" style="6" bestFit="1" customWidth="1"/>
    <col min="20" max="20" width="9.5703125" style="6" bestFit="1" customWidth="1"/>
    <col min="21" max="21" width="44.28515625" style="5" customWidth="1"/>
  </cols>
  <sheetData>
    <row r="1" spans="2:21" ht="45" x14ac:dyDescent="0.25">
      <c r="B1" s="1" t="s">
        <v>70</v>
      </c>
      <c r="C1" s="23" t="s">
        <v>41</v>
      </c>
      <c r="D1" s="23" t="s">
        <v>42</v>
      </c>
      <c r="E1" s="23" t="s">
        <v>19</v>
      </c>
      <c r="F1" s="24" t="s">
        <v>108</v>
      </c>
      <c r="G1" s="24" t="s">
        <v>109</v>
      </c>
      <c r="H1" s="24" t="s">
        <v>110</v>
      </c>
      <c r="I1" s="25" t="s">
        <v>22</v>
      </c>
      <c r="J1" s="26" t="s">
        <v>25</v>
      </c>
      <c r="K1" s="23" t="s">
        <v>15</v>
      </c>
      <c r="L1" s="23" t="s">
        <v>16</v>
      </c>
      <c r="M1" s="23" t="s">
        <v>17</v>
      </c>
      <c r="N1" s="23" t="s">
        <v>87</v>
      </c>
      <c r="O1" s="23" t="s">
        <v>88</v>
      </c>
      <c r="P1" s="23" t="s">
        <v>28</v>
      </c>
      <c r="Q1" s="23" t="s">
        <v>29</v>
      </c>
      <c r="R1" s="23" t="s">
        <v>32</v>
      </c>
      <c r="S1" s="23" t="s">
        <v>33</v>
      </c>
      <c r="T1" s="23" t="s">
        <v>34</v>
      </c>
      <c r="U1" s="23" t="s">
        <v>114</v>
      </c>
    </row>
    <row r="2" spans="2:21" x14ac:dyDescent="0.25">
      <c r="B2" s="1" t="s">
        <v>71</v>
      </c>
      <c r="C2" s="2" t="s">
        <v>23</v>
      </c>
      <c r="D2" s="2" t="s">
        <v>23</v>
      </c>
      <c r="E2" s="2" t="s">
        <v>23</v>
      </c>
      <c r="F2" s="13"/>
      <c r="G2" s="13"/>
      <c r="H2" s="13"/>
      <c r="I2" s="3"/>
      <c r="J2" s="4" t="s">
        <v>24</v>
      </c>
      <c r="K2" s="2" t="s">
        <v>23</v>
      </c>
      <c r="L2" s="2" t="s">
        <v>23</v>
      </c>
      <c r="M2" s="2" t="s">
        <v>23</v>
      </c>
      <c r="N2" s="2"/>
      <c r="O2" s="2"/>
      <c r="P2" s="2" t="s">
        <v>31</v>
      </c>
      <c r="Q2" s="2" t="s">
        <v>30</v>
      </c>
      <c r="R2" s="2" t="s">
        <v>35</v>
      </c>
      <c r="S2" s="2" t="s">
        <v>39</v>
      </c>
    </row>
    <row r="3" spans="2:21" x14ac:dyDescent="0.25">
      <c r="B3" s="2" t="s">
        <v>0</v>
      </c>
      <c r="C3" s="5">
        <v>0</v>
      </c>
      <c r="D3" s="5">
        <v>0</v>
      </c>
      <c r="E3" s="5">
        <v>0</v>
      </c>
      <c r="F3" s="9">
        <f>C3/$C$57</f>
        <v>0</v>
      </c>
      <c r="G3" s="9">
        <f>D3/$C$57</f>
        <v>0</v>
      </c>
      <c r="H3" s="9">
        <f>E3/$C$57</f>
        <v>0</v>
      </c>
      <c r="I3" s="7">
        <v>0</v>
      </c>
      <c r="J3" s="8">
        <v>0</v>
      </c>
      <c r="K3" s="5">
        <v>696342</v>
      </c>
      <c r="L3" s="5">
        <f t="shared" ref="L3:L10" si="0">K3*2</f>
        <v>1392684</v>
      </c>
      <c r="M3" s="5">
        <f t="shared" ref="M3:M10" si="1">(K3*3.14)*2</f>
        <v>4373027.76</v>
      </c>
      <c r="N3" s="9">
        <f>M3/$C$56</f>
        <v>1093.25694</v>
      </c>
      <c r="O3" s="9">
        <f>M3/2/$C$56</f>
        <v>546.62846999999999</v>
      </c>
      <c r="P3" s="6">
        <v>274</v>
      </c>
      <c r="Q3" s="6">
        <v>617.70000000000005</v>
      </c>
      <c r="R3" s="6">
        <v>5778</v>
      </c>
      <c r="S3" s="6" t="s">
        <v>46</v>
      </c>
      <c r="T3" s="6" t="s">
        <v>46</v>
      </c>
      <c r="U3" s="5" t="s">
        <v>98</v>
      </c>
    </row>
    <row r="4" spans="2:21" x14ac:dyDescent="0.25">
      <c r="B4" s="2" t="s">
        <v>1</v>
      </c>
      <c r="C4" s="10">
        <v>69816000</v>
      </c>
      <c r="D4" s="10">
        <v>46001200</v>
      </c>
      <c r="E4" s="10">
        <v>57909050</v>
      </c>
      <c r="F4" s="9">
        <f>1+(C4/$C$54)</f>
        <v>5.5906410958904109</v>
      </c>
      <c r="G4" s="9">
        <f t="shared" ref="G4:H4" si="2">1+(D4/$C$54)</f>
        <v>4.0247364383561646</v>
      </c>
      <c r="H4" s="9">
        <f t="shared" si="2"/>
        <v>4.8077183561643828</v>
      </c>
      <c r="I4" s="7">
        <v>0.20563000000000001</v>
      </c>
      <c r="J4" s="8">
        <v>88</v>
      </c>
      <c r="K4" s="5">
        <v>2440</v>
      </c>
      <c r="L4" s="5">
        <f t="shared" si="0"/>
        <v>4880</v>
      </c>
      <c r="M4" s="5">
        <f t="shared" si="1"/>
        <v>15323.2</v>
      </c>
      <c r="N4" s="9">
        <f>M4/$C$56</f>
        <v>3.8308</v>
      </c>
      <c r="O4" s="9">
        <f>M4/2/$C$56</f>
        <v>1.9154</v>
      </c>
      <c r="P4" s="5">
        <v>3.7</v>
      </c>
      <c r="Q4" s="5">
        <v>4.25</v>
      </c>
      <c r="R4" s="5">
        <v>340</v>
      </c>
      <c r="S4" s="5" t="s">
        <v>37</v>
      </c>
      <c r="T4" s="6" t="s">
        <v>37</v>
      </c>
    </row>
    <row r="5" spans="2:21" x14ac:dyDescent="0.25">
      <c r="B5" s="2" t="s">
        <v>2</v>
      </c>
      <c r="C5" s="10">
        <v>108000000</v>
      </c>
      <c r="D5" s="10">
        <v>107000000</v>
      </c>
      <c r="E5" s="10">
        <v>108000000</v>
      </c>
      <c r="F5" s="9">
        <f>1+(C5/$C$54)</f>
        <v>8.1013698630136979</v>
      </c>
      <c r="G5" s="9">
        <f t="shared" ref="G5:G6" si="3">1+(D5/$C$54)</f>
        <v>8.0356164383561648</v>
      </c>
      <c r="H5" s="9">
        <f t="shared" ref="H5:H6" si="4">1+(E5/$C$54)</f>
        <v>8.1013698630136979</v>
      </c>
      <c r="I5" s="7">
        <v>6.7000000000000002E-3</v>
      </c>
      <c r="J5" s="8">
        <v>224</v>
      </c>
      <c r="K5" s="5">
        <v>6051</v>
      </c>
      <c r="L5" s="5">
        <f t="shared" si="0"/>
        <v>12102</v>
      </c>
      <c r="M5" s="5">
        <f t="shared" si="1"/>
        <v>38000.28</v>
      </c>
      <c r="N5" s="9">
        <f t="shared" ref="N5:N49" si="5">M5/$C$56</f>
        <v>9.5000699999999991</v>
      </c>
      <c r="O5" s="9">
        <f t="shared" ref="O5:O49" si="6">M5/2/$C$56</f>
        <v>4.7500349999999996</v>
      </c>
      <c r="P5" s="5">
        <v>8.8699999999999992</v>
      </c>
      <c r="Q5" s="5">
        <v>10.36</v>
      </c>
      <c r="R5" s="5">
        <v>737</v>
      </c>
      <c r="S5" s="5">
        <v>9200</v>
      </c>
      <c r="T5" s="6" t="s">
        <v>36</v>
      </c>
    </row>
    <row r="6" spans="2:21" x14ac:dyDescent="0.25">
      <c r="B6" s="2" t="s">
        <v>4</v>
      </c>
      <c r="C6" s="10">
        <v>152090000</v>
      </c>
      <c r="D6" s="10">
        <v>147090000</v>
      </c>
      <c r="E6" s="10">
        <v>149590000</v>
      </c>
      <c r="F6" s="9">
        <f>1+(C6/$C$54)</f>
        <v>11.000438356164382</v>
      </c>
      <c r="G6" s="9">
        <f t="shared" si="3"/>
        <v>10.671671232876712</v>
      </c>
      <c r="H6" s="9">
        <f t="shared" si="4"/>
        <v>10.836054794520548</v>
      </c>
      <c r="I6" s="7">
        <v>1.67E-2</v>
      </c>
      <c r="J6" s="8">
        <v>365</v>
      </c>
      <c r="K6" s="5">
        <v>6370</v>
      </c>
      <c r="L6" s="5">
        <f t="shared" si="0"/>
        <v>12740</v>
      </c>
      <c r="M6" s="5">
        <f t="shared" si="1"/>
        <v>40003.599999999999</v>
      </c>
      <c r="N6" s="9">
        <f t="shared" si="5"/>
        <v>10.0009</v>
      </c>
      <c r="O6" s="9">
        <f t="shared" si="6"/>
        <v>5.0004499999999998</v>
      </c>
      <c r="P6" s="5">
        <v>9.798</v>
      </c>
      <c r="Q6" s="5">
        <v>11.186</v>
      </c>
      <c r="R6" s="5">
        <v>288</v>
      </c>
      <c r="S6" s="5">
        <v>101.325</v>
      </c>
      <c r="T6" s="6" t="s">
        <v>38</v>
      </c>
    </row>
    <row r="7" spans="2:21" x14ac:dyDescent="0.25">
      <c r="B7" s="11" t="s">
        <v>5</v>
      </c>
      <c r="C7" s="10">
        <v>405000</v>
      </c>
      <c r="D7" s="10">
        <v>362600</v>
      </c>
      <c r="E7" s="10">
        <v>384390</v>
      </c>
      <c r="F7" s="14"/>
      <c r="G7" s="14"/>
      <c r="H7" s="14"/>
      <c r="I7" s="7">
        <v>5.4899999999999997E-2</v>
      </c>
      <c r="J7" s="8">
        <v>27</v>
      </c>
      <c r="K7" s="5">
        <v>1737</v>
      </c>
      <c r="L7" s="5">
        <f t="shared" si="0"/>
        <v>3474</v>
      </c>
      <c r="M7" s="5">
        <f t="shared" si="1"/>
        <v>10908.36</v>
      </c>
      <c r="N7" s="9">
        <f t="shared" si="5"/>
        <v>2.72709</v>
      </c>
      <c r="O7" s="9">
        <f t="shared" si="6"/>
        <v>1.363545</v>
      </c>
      <c r="P7" s="5">
        <v>1.6220000000000001</v>
      </c>
      <c r="Q7" s="5">
        <v>2.38</v>
      </c>
      <c r="R7" s="5">
        <v>220</v>
      </c>
      <c r="S7" s="6" t="s">
        <v>37</v>
      </c>
      <c r="T7" s="6" t="s">
        <v>37</v>
      </c>
    </row>
    <row r="8" spans="2:21" x14ac:dyDescent="0.25">
      <c r="B8" s="2" t="s">
        <v>3</v>
      </c>
      <c r="C8" s="10">
        <v>249000000</v>
      </c>
      <c r="D8" s="10">
        <v>206000000</v>
      </c>
      <c r="E8" s="10">
        <v>227000000</v>
      </c>
      <c r="F8" s="9">
        <f>1+(C8/$C$54)</f>
        <v>17.372602739726027</v>
      </c>
      <c r="G8" s="9">
        <f t="shared" ref="G8" si="7">1+(D8/$C$54)</f>
        <v>14.545205479452054</v>
      </c>
      <c r="H8" s="9">
        <f t="shared" ref="H8" si="8">1+(E8/$C$54)</f>
        <v>15.926027397260274</v>
      </c>
      <c r="I8" s="7">
        <v>9.3299999999999994E-2</v>
      </c>
      <c r="J8" s="8">
        <v>686</v>
      </c>
      <c r="K8" s="5">
        <v>3389</v>
      </c>
      <c r="L8" s="5">
        <f t="shared" si="0"/>
        <v>6778</v>
      </c>
      <c r="M8" s="5">
        <f t="shared" si="1"/>
        <v>21282.920000000002</v>
      </c>
      <c r="N8" s="9">
        <f t="shared" si="5"/>
        <v>5.3207300000000002</v>
      </c>
      <c r="O8" s="9">
        <f t="shared" si="6"/>
        <v>2.6603650000000001</v>
      </c>
      <c r="P8" s="5">
        <v>3.7109999999999999</v>
      </c>
      <c r="Q8" s="5">
        <v>5.0270000000000001</v>
      </c>
      <c r="R8" s="5">
        <v>210</v>
      </c>
      <c r="S8" s="5">
        <v>0.63600000000000001</v>
      </c>
      <c r="T8" s="6" t="s">
        <v>40</v>
      </c>
    </row>
    <row r="9" spans="2:21" x14ac:dyDescent="0.25">
      <c r="B9" s="11" t="s">
        <v>26</v>
      </c>
      <c r="C9" s="10">
        <v>9517</v>
      </c>
      <c r="D9" s="10">
        <v>9234</v>
      </c>
      <c r="E9" s="10">
        <v>9376</v>
      </c>
      <c r="F9" s="14"/>
      <c r="G9" s="14"/>
      <c r="H9" s="14"/>
      <c r="I9" s="7">
        <v>1.5100000000000001E-2</v>
      </c>
      <c r="J9" s="8">
        <v>0.3</v>
      </c>
      <c r="K9" s="5">
        <v>27</v>
      </c>
      <c r="L9" s="5">
        <f t="shared" si="0"/>
        <v>54</v>
      </c>
      <c r="M9" s="5">
        <f t="shared" si="1"/>
        <v>169.56</v>
      </c>
      <c r="N9" s="9">
        <f t="shared" si="5"/>
        <v>4.2389999999999997E-2</v>
      </c>
      <c r="O9" s="9">
        <f t="shared" si="6"/>
        <v>2.1194999999999999E-2</v>
      </c>
      <c r="P9" s="5">
        <v>5.7000000000000002E-3</v>
      </c>
      <c r="Q9" s="6">
        <f>11.39/1000</f>
        <v>1.1390000000000001E-2</v>
      </c>
      <c r="R9" s="5">
        <v>233</v>
      </c>
      <c r="S9" s="6" t="s">
        <v>43</v>
      </c>
      <c r="T9" s="6" t="s">
        <v>43</v>
      </c>
    </row>
    <row r="10" spans="2:21" x14ac:dyDescent="0.25">
      <c r="B10" s="11" t="s">
        <v>27</v>
      </c>
      <c r="C10" s="10">
        <v>23000</v>
      </c>
      <c r="D10" s="10">
        <v>23000</v>
      </c>
      <c r="E10" s="10">
        <v>23000</v>
      </c>
      <c r="F10" s="14"/>
      <c r="G10" s="14"/>
      <c r="H10" s="14"/>
      <c r="I10" s="7">
        <v>3.3E-4</v>
      </c>
      <c r="J10" s="8">
        <v>1</v>
      </c>
      <c r="K10" s="5">
        <v>7.8</v>
      </c>
      <c r="L10" s="5">
        <f t="shared" si="0"/>
        <v>15.6</v>
      </c>
      <c r="M10" s="5">
        <f t="shared" si="1"/>
        <v>48.984000000000002</v>
      </c>
      <c r="N10" s="9">
        <f t="shared" si="5"/>
        <v>1.2246E-2</v>
      </c>
      <c r="O10" s="9">
        <f t="shared" si="6"/>
        <v>6.123E-3</v>
      </c>
      <c r="P10" s="5">
        <v>3.0000000000000001E-3</v>
      </c>
      <c r="Q10" s="5">
        <v>5.556</v>
      </c>
      <c r="R10" s="5">
        <v>233</v>
      </c>
      <c r="S10" s="6" t="s">
        <v>43</v>
      </c>
      <c r="T10" s="6" t="s">
        <v>43</v>
      </c>
    </row>
    <row r="11" spans="2:21" ht="30" x14ac:dyDescent="0.25">
      <c r="B11" s="2" t="s">
        <v>6</v>
      </c>
      <c r="C11" s="10">
        <v>418000000</v>
      </c>
      <c r="D11" s="10">
        <v>418000000</v>
      </c>
      <c r="E11" s="10">
        <v>418000000</v>
      </c>
      <c r="F11" s="9">
        <f t="shared" ref="F11:F16" si="9">1+(C11/$C$54)</f>
        <v>28.484931506849314</v>
      </c>
      <c r="G11" s="9">
        <f t="shared" ref="G11:G16" si="10">1+(D11/$C$54)</f>
        <v>28.484931506849314</v>
      </c>
      <c r="H11" s="9">
        <f t="shared" ref="H11:H16" si="11">1+(E11/$C$54)</f>
        <v>28.484931506849314</v>
      </c>
      <c r="I11" s="7" t="s">
        <v>46</v>
      </c>
      <c r="J11" s="8" t="s">
        <v>46</v>
      </c>
      <c r="K11" s="7" t="s">
        <v>46</v>
      </c>
      <c r="L11" s="7" t="s">
        <v>46</v>
      </c>
      <c r="M11" s="7" t="s">
        <v>46</v>
      </c>
      <c r="N11" s="9" t="e">
        <f t="shared" si="5"/>
        <v>#VALUE!</v>
      </c>
      <c r="O11" s="9" t="e">
        <f t="shared" si="6"/>
        <v>#VALUE!</v>
      </c>
      <c r="P11" s="7" t="s">
        <v>46</v>
      </c>
      <c r="Q11" s="7" t="s">
        <v>46</v>
      </c>
      <c r="R11" s="7" t="s">
        <v>46</v>
      </c>
      <c r="S11" s="6" t="s">
        <v>43</v>
      </c>
      <c r="T11" s="6" t="s">
        <v>43</v>
      </c>
      <c r="U11" s="5" t="s">
        <v>44</v>
      </c>
    </row>
    <row r="12" spans="2:21" s="22" customFormat="1" x14ac:dyDescent="0.25">
      <c r="B12" s="15" t="s">
        <v>111</v>
      </c>
      <c r="C12" s="16"/>
      <c r="D12" s="16"/>
      <c r="E12" s="16"/>
      <c r="F12" s="17">
        <f>MAX(F3:F11)</f>
        <v>28.484931506849314</v>
      </c>
      <c r="G12" s="17">
        <f>MAX(G3:G11)</f>
        <v>28.484931506849314</v>
      </c>
      <c r="H12" s="17">
        <f>MAX(H3:H11)</f>
        <v>28.484931506849314</v>
      </c>
      <c r="I12" s="18"/>
      <c r="J12" s="19"/>
      <c r="K12" s="18"/>
      <c r="L12" s="18"/>
      <c r="M12" s="18"/>
      <c r="N12" s="17"/>
      <c r="O12" s="17"/>
      <c r="P12" s="18"/>
      <c r="Q12" s="18"/>
      <c r="R12" s="18"/>
      <c r="S12" s="20"/>
      <c r="T12" s="20"/>
      <c r="U12" s="21"/>
    </row>
    <row r="13" spans="2:21" s="22" customFormat="1" x14ac:dyDescent="0.25">
      <c r="B13" s="15" t="s">
        <v>112</v>
      </c>
      <c r="C13" s="16"/>
      <c r="D13" s="16"/>
      <c r="E13" s="16"/>
      <c r="F13" s="17">
        <f>MIN(F3:F11)</f>
        <v>0</v>
      </c>
      <c r="G13" s="17">
        <f t="shared" ref="G13:H13" si="12">MIN(G3:G11)</f>
        <v>0</v>
      </c>
      <c r="H13" s="17">
        <f t="shared" si="12"/>
        <v>0</v>
      </c>
      <c r="I13" s="18"/>
      <c r="J13" s="19"/>
      <c r="K13" s="18"/>
      <c r="L13" s="18"/>
      <c r="M13" s="18"/>
      <c r="N13" s="17"/>
      <c r="O13" s="17"/>
      <c r="P13" s="18"/>
      <c r="Q13" s="18"/>
      <c r="R13" s="18"/>
      <c r="S13" s="20"/>
      <c r="T13" s="20"/>
      <c r="U13" s="21"/>
    </row>
    <row r="14" spans="2:21" s="22" customFormat="1" x14ac:dyDescent="0.25">
      <c r="B14" s="15" t="s">
        <v>113</v>
      </c>
      <c r="C14" s="16"/>
      <c r="D14" s="16"/>
      <c r="E14" s="16"/>
      <c r="F14" s="17">
        <f>MEDIAN(F3:F11)</f>
        <v>9.550904109589041</v>
      </c>
      <c r="G14" s="17">
        <f t="shared" ref="G14:H14" si="13">MEDIAN(G3:G11)</f>
        <v>9.3536438356164382</v>
      </c>
      <c r="H14" s="17">
        <f t="shared" si="13"/>
        <v>9.468712328767122</v>
      </c>
      <c r="I14" s="18"/>
      <c r="J14" s="19"/>
      <c r="K14" s="18"/>
      <c r="L14" s="18"/>
      <c r="M14" s="18"/>
      <c r="N14" s="17"/>
      <c r="O14" s="17"/>
      <c r="P14" s="18"/>
      <c r="Q14" s="18"/>
      <c r="R14" s="18"/>
      <c r="S14" s="20"/>
      <c r="T14" s="20"/>
      <c r="U14" s="21"/>
    </row>
    <row r="15" spans="2:21" x14ac:dyDescent="0.25">
      <c r="B15" s="11" t="s">
        <v>14</v>
      </c>
      <c r="C15" s="10">
        <v>445000000</v>
      </c>
      <c r="D15" s="10">
        <v>382000000</v>
      </c>
      <c r="E15" s="10">
        <v>413000000</v>
      </c>
      <c r="F15" s="9">
        <f t="shared" si="9"/>
        <v>30.260273972602739</v>
      </c>
      <c r="G15" s="9">
        <f t="shared" si="10"/>
        <v>26.11780821917808</v>
      </c>
      <c r="H15" s="9">
        <f t="shared" si="11"/>
        <v>28.156164383561642</v>
      </c>
      <c r="I15" s="7">
        <v>7.4999999999999997E-2</v>
      </c>
      <c r="J15" s="8">
        <v>1681</v>
      </c>
      <c r="K15" s="5">
        <v>476</v>
      </c>
      <c r="L15" s="5">
        <f t="shared" ref="L15:L35" si="14">K15*2</f>
        <v>952</v>
      </c>
      <c r="M15" s="5">
        <f t="shared" ref="M15:M35" si="15">(K15*3.14)*2</f>
        <v>2989.28</v>
      </c>
      <c r="N15" s="9">
        <f t="shared" si="5"/>
        <v>0.7473200000000001</v>
      </c>
      <c r="O15" s="9">
        <f t="shared" si="6"/>
        <v>0.37366000000000005</v>
      </c>
      <c r="P15" s="5">
        <v>0.28000000000000003</v>
      </c>
      <c r="Q15" s="5">
        <v>0.51</v>
      </c>
      <c r="R15" s="5">
        <v>168</v>
      </c>
      <c r="S15" s="6" t="s">
        <v>43</v>
      </c>
      <c r="T15" s="6" t="s">
        <v>45</v>
      </c>
      <c r="U15" s="5" t="s">
        <v>53</v>
      </c>
    </row>
    <row r="16" spans="2:21" x14ac:dyDescent="0.25">
      <c r="B16" s="2" t="s">
        <v>7</v>
      </c>
      <c r="C16" s="10">
        <v>816000000</v>
      </c>
      <c r="D16" s="10">
        <v>740000000</v>
      </c>
      <c r="E16" s="10">
        <v>778000000</v>
      </c>
      <c r="F16" s="9">
        <f t="shared" si="9"/>
        <v>54.654794520547945</v>
      </c>
      <c r="G16" s="9">
        <f t="shared" si="10"/>
        <v>49.657534246575338</v>
      </c>
      <c r="H16" s="9">
        <f t="shared" si="11"/>
        <v>52.156164383561645</v>
      </c>
      <c r="I16" s="7">
        <v>4.8000000000000001E-2</v>
      </c>
      <c r="J16" s="8">
        <v>4332</v>
      </c>
      <c r="K16" s="5">
        <v>69911</v>
      </c>
      <c r="L16" s="5">
        <f t="shared" si="14"/>
        <v>139822</v>
      </c>
      <c r="M16" s="5">
        <f t="shared" si="15"/>
        <v>439041.08</v>
      </c>
      <c r="N16" s="9">
        <f t="shared" si="5"/>
        <v>109.76027000000001</v>
      </c>
      <c r="O16" s="9">
        <f t="shared" si="6"/>
        <v>54.880135000000003</v>
      </c>
      <c r="P16" s="5">
        <v>24.79</v>
      </c>
      <c r="Q16" s="5">
        <v>59.5</v>
      </c>
      <c r="R16" s="5">
        <v>165</v>
      </c>
      <c r="S16" s="6" t="s">
        <v>47</v>
      </c>
      <c r="T16" s="6" t="s">
        <v>48</v>
      </c>
      <c r="U16" s="5" t="s">
        <v>56</v>
      </c>
    </row>
    <row r="17" spans="2:21" x14ac:dyDescent="0.25">
      <c r="B17" s="11" t="s">
        <v>50</v>
      </c>
      <c r="C17" s="10">
        <v>420000</v>
      </c>
      <c r="D17" s="10">
        <v>423000</v>
      </c>
      <c r="E17" s="10">
        <v>421000</v>
      </c>
      <c r="F17" s="14"/>
      <c r="G17" s="14"/>
      <c r="H17" s="14"/>
      <c r="I17" s="7">
        <v>4.1000000000000003E-3</v>
      </c>
      <c r="J17" s="8">
        <v>1</v>
      </c>
      <c r="K17" s="5">
        <v>3660</v>
      </c>
      <c r="L17" s="5">
        <f t="shared" si="14"/>
        <v>7320</v>
      </c>
      <c r="M17" s="5">
        <f t="shared" si="15"/>
        <v>22984.799999999999</v>
      </c>
      <c r="N17" s="9">
        <f t="shared" si="5"/>
        <v>5.7462</v>
      </c>
      <c r="O17" s="9">
        <f t="shared" si="6"/>
        <v>2.8731</v>
      </c>
      <c r="P17" s="5">
        <v>1.79</v>
      </c>
      <c r="Q17" s="5">
        <v>2.5579999999999998</v>
      </c>
      <c r="R17" s="5">
        <v>110</v>
      </c>
      <c r="S17" s="6" t="s">
        <v>37</v>
      </c>
      <c r="T17" s="6" t="s">
        <v>51</v>
      </c>
      <c r="U17" s="5" t="s">
        <v>52</v>
      </c>
    </row>
    <row r="18" spans="2:21" x14ac:dyDescent="0.25">
      <c r="B18" s="11" t="s">
        <v>54</v>
      </c>
      <c r="C18" s="10">
        <v>667000</v>
      </c>
      <c r="D18" s="10">
        <v>664000</v>
      </c>
      <c r="E18" s="10">
        <v>670000</v>
      </c>
      <c r="F18" s="14"/>
      <c r="G18" s="14"/>
      <c r="H18" s="14"/>
      <c r="I18" s="7">
        <v>8.9999999999999993E-3</v>
      </c>
      <c r="J18" s="8">
        <v>3</v>
      </c>
      <c r="K18" s="5">
        <v>1560</v>
      </c>
      <c r="L18" s="5">
        <f t="shared" si="14"/>
        <v>3120</v>
      </c>
      <c r="M18" s="5">
        <f t="shared" si="15"/>
        <v>9796.8000000000011</v>
      </c>
      <c r="N18" s="9">
        <f t="shared" si="5"/>
        <v>2.4492000000000003</v>
      </c>
      <c r="O18" s="9">
        <f t="shared" si="6"/>
        <v>1.2246000000000001</v>
      </c>
      <c r="P18" s="5">
        <v>1.3140000000000001</v>
      </c>
      <c r="Q18" s="5">
        <v>2.0249999999999999</v>
      </c>
      <c r="R18" s="5">
        <v>102</v>
      </c>
      <c r="S18" s="6" t="s">
        <v>37</v>
      </c>
      <c r="T18" s="6" t="s">
        <v>55</v>
      </c>
      <c r="U18" s="5" t="s">
        <v>52</v>
      </c>
    </row>
    <row r="19" spans="2:21" x14ac:dyDescent="0.25">
      <c r="B19" s="11" t="s">
        <v>57</v>
      </c>
      <c r="C19" s="10">
        <v>1069000</v>
      </c>
      <c r="D19" s="10">
        <v>1071000</v>
      </c>
      <c r="E19" s="10">
        <v>1070000</v>
      </c>
      <c r="F19" s="14"/>
      <c r="G19" s="14"/>
      <c r="H19" s="14"/>
      <c r="I19" s="7">
        <v>1.2999999999999999E-3</v>
      </c>
      <c r="J19" s="8">
        <v>7</v>
      </c>
      <c r="K19" s="5">
        <v>2634</v>
      </c>
      <c r="L19" s="5">
        <f t="shared" si="14"/>
        <v>5268</v>
      </c>
      <c r="M19" s="5">
        <f t="shared" si="15"/>
        <v>16541.52</v>
      </c>
      <c r="N19" s="9">
        <f t="shared" si="5"/>
        <v>4.1353800000000005</v>
      </c>
      <c r="O19" s="9">
        <f t="shared" si="6"/>
        <v>2.0676900000000002</v>
      </c>
      <c r="P19" s="5">
        <v>1.4279999999999999</v>
      </c>
      <c r="Q19" s="5">
        <v>2.7410000000000001</v>
      </c>
      <c r="R19" s="5">
        <v>110</v>
      </c>
      <c r="S19" s="6" t="s">
        <v>37</v>
      </c>
      <c r="T19" s="6" t="s">
        <v>58</v>
      </c>
      <c r="U19" s="5" t="s">
        <v>52</v>
      </c>
    </row>
    <row r="20" spans="2:21" x14ac:dyDescent="0.25">
      <c r="B20" s="11" t="s">
        <v>59</v>
      </c>
      <c r="C20" s="10">
        <v>1869000</v>
      </c>
      <c r="D20" s="10">
        <v>1897000</v>
      </c>
      <c r="E20" s="10">
        <v>1882000</v>
      </c>
      <c r="F20" s="14"/>
      <c r="G20" s="14"/>
      <c r="H20" s="14"/>
      <c r="I20" s="7">
        <v>7.4000000000000003E-3</v>
      </c>
      <c r="J20" s="8">
        <v>16</v>
      </c>
      <c r="K20" s="5">
        <v>2410</v>
      </c>
      <c r="L20" s="5">
        <f t="shared" si="14"/>
        <v>4820</v>
      </c>
      <c r="M20" s="5">
        <f t="shared" si="15"/>
        <v>15134.800000000001</v>
      </c>
      <c r="N20" s="9">
        <f t="shared" si="5"/>
        <v>3.7837000000000001</v>
      </c>
      <c r="O20" s="9">
        <f t="shared" si="6"/>
        <v>1.89185</v>
      </c>
      <c r="P20" s="5">
        <v>1.234</v>
      </c>
      <c r="Q20" s="5">
        <v>2.44</v>
      </c>
      <c r="R20" s="5">
        <v>134</v>
      </c>
      <c r="S20" s="6" t="s">
        <v>37</v>
      </c>
      <c r="T20" s="6" t="s">
        <v>40</v>
      </c>
      <c r="U20" s="5" t="s">
        <v>52</v>
      </c>
    </row>
    <row r="21" spans="2:21" x14ac:dyDescent="0.25">
      <c r="B21" s="2" t="s">
        <v>8</v>
      </c>
      <c r="C21" s="10">
        <v>1513000000</v>
      </c>
      <c r="D21" s="10">
        <v>1353000000</v>
      </c>
      <c r="E21" s="10">
        <v>1433000000</v>
      </c>
      <c r="F21" s="9">
        <f>1+(C21/$C$54)</f>
        <v>100.48493150684931</v>
      </c>
      <c r="G21" s="9">
        <f t="shared" ref="G21" si="16">1+(D21/$C$54)</f>
        <v>89.964383561643828</v>
      </c>
      <c r="H21" s="9">
        <f t="shared" ref="H21" si="17">1+(E21/$C$54)</f>
        <v>95.224657534246575</v>
      </c>
      <c r="I21" s="7">
        <v>5.5E-2</v>
      </c>
      <c r="J21" s="8">
        <v>10759</v>
      </c>
      <c r="K21" s="5">
        <v>58232</v>
      </c>
      <c r="L21" s="5">
        <f t="shared" si="14"/>
        <v>116464</v>
      </c>
      <c r="M21" s="5">
        <f t="shared" si="15"/>
        <v>365696.96</v>
      </c>
      <c r="N21" s="9">
        <f t="shared" si="5"/>
        <v>91.424240000000012</v>
      </c>
      <c r="O21" s="9">
        <f t="shared" si="6"/>
        <v>45.712120000000006</v>
      </c>
      <c r="P21" s="5">
        <v>10.44</v>
      </c>
      <c r="Q21" s="5">
        <v>35.5</v>
      </c>
      <c r="R21" s="5">
        <v>134</v>
      </c>
      <c r="S21" s="6" t="s">
        <v>55</v>
      </c>
      <c r="T21" s="6" t="s">
        <v>60</v>
      </c>
      <c r="U21" s="5" t="s">
        <v>49</v>
      </c>
    </row>
    <row r="22" spans="2:21" x14ac:dyDescent="0.25">
      <c r="B22" s="11" t="s">
        <v>61</v>
      </c>
      <c r="C22" s="10">
        <v>189000</v>
      </c>
      <c r="D22" s="10">
        <v>181000000</v>
      </c>
      <c r="E22" s="5" t="s">
        <v>55</v>
      </c>
      <c r="F22" s="14"/>
      <c r="G22" s="14"/>
      <c r="H22" s="14"/>
      <c r="I22" s="7">
        <v>1.9599999999999999E-2</v>
      </c>
      <c r="J22" s="8">
        <v>0.94199999999999995</v>
      </c>
      <c r="K22" s="5">
        <v>198</v>
      </c>
      <c r="L22" s="5">
        <f t="shared" si="14"/>
        <v>396</v>
      </c>
      <c r="M22" s="5">
        <f t="shared" si="15"/>
        <v>1243.44</v>
      </c>
      <c r="N22" s="9">
        <f t="shared" si="5"/>
        <v>0.31086000000000003</v>
      </c>
      <c r="O22" s="9">
        <f t="shared" si="6"/>
        <v>0.15543000000000001</v>
      </c>
      <c r="P22" s="5">
        <v>6.4000000000000001E-2</v>
      </c>
      <c r="Q22" s="5">
        <v>0.159</v>
      </c>
      <c r="R22" s="5">
        <v>64</v>
      </c>
      <c r="S22" s="6" t="s">
        <v>43</v>
      </c>
      <c r="T22" s="6" t="s">
        <v>43</v>
      </c>
      <c r="U22" s="5" t="s">
        <v>62</v>
      </c>
    </row>
    <row r="23" spans="2:21" x14ac:dyDescent="0.25">
      <c r="B23" s="11" t="s">
        <v>63</v>
      </c>
      <c r="C23" s="5" t="s">
        <v>46</v>
      </c>
      <c r="D23" s="5" t="s">
        <v>46</v>
      </c>
      <c r="E23" s="10">
        <v>237000</v>
      </c>
      <c r="F23" s="14"/>
      <c r="G23" s="14"/>
      <c r="H23" s="14"/>
      <c r="I23" s="7">
        <v>4.7000000000000002E-3</v>
      </c>
      <c r="J23" s="8">
        <v>1</v>
      </c>
      <c r="K23" s="5">
        <v>252</v>
      </c>
      <c r="L23" s="5">
        <f t="shared" si="14"/>
        <v>504</v>
      </c>
      <c r="M23" s="5">
        <f t="shared" si="15"/>
        <v>1582.5600000000002</v>
      </c>
      <c r="N23" s="9">
        <f t="shared" si="5"/>
        <v>0.39564000000000005</v>
      </c>
      <c r="O23" s="9">
        <f t="shared" si="6"/>
        <v>0.19782000000000002</v>
      </c>
      <c r="P23" s="5">
        <v>0.114</v>
      </c>
      <c r="Q23" s="5">
        <v>0.23899999999999999</v>
      </c>
      <c r="R23" s="5">
        <v>75</v>
      </c>
      <c r="S23" s="6" t="s">
        <v>37</v>
      </c>
      <c r="T23" s="6" t="s">
        <v>37</v>
      </c>
      <c r="U23" s="5" t="s">
        <v>62</v>
      </c>
    </row>
    <row r="24" spans="2:21" x14ac:dyDescent="0.25">
      <c r="B24" s="11" t="s">
        <v>64</v>
      </c>
      <c r="C24" s="5" t="s">
        <v>46</v>
      </c>
      <c r="D24" s="5" t="s">
        <v>46</v>
      </c>
      <c r="E24" s="10">
        <v>294000</v>
      </c>
      <c r="F24" s="14"/>
      <c r="G24" s="14"/>
      <c r="H24" s="14"/>
      <c r="I24" s="7">
        <v>1E-4</v>
      </c>
      <c r="J24" s="8">
        <v>1</v>
      </c>
      <c r="K24" s="5">
        <v>531</v>
      </c>
      <c r="L24" s="5">
        <f t="shared" si="14"/>
        <v>1062</v>
      </c>
      <c r="M24" s="5">
        <f t="shared" si="15"/>
        <v>3334.6800000000003</v>
      </c>
      <c r="N24" s="9">
        <f t="shared" si="5"/>
        <v>0.83367000000000002</v>
      </c>
      <c r="O24" s="9">
        <f t="shared" si="6"/>
        <v>0.41683500000000001</v>
      </c>
      <c r="P24" s="5">
        <v>0.14699999999999999</v>
      </c>
      <c r="Q24" s="5">
        <v>0.39400000000000002</v>
      </c>
      <c r="R24" s="5">
        <v>86</v>
      </c>
      <c r="S24" s="6" t="s">
        <v>43</v>
      </c>
      <c r="T24" s="6" t="s">
        <v>43</v>
      </c>
      <c r="U24" s="5" t="s">
        <v>62</v>
      </c>
    </row>
    <row r="25" spans="2:21" x14ac:dyDescent="0.25">
      <c r="B25" s="11" t="s">
        <v>65</v>
      </c>
      <c r="C25" s="5" t="s">
        <v>46</v>
      </c>
      <c r="D25" s="5" t="s">
        <v>46</v>
      </c>
      <c r="E25" s="10">
        <v>377000</v>
      </c>
      <c r="F25" s="14"/>
      <c r="G25" s="14"/>
      <c r="H25" s="14"/>
      <c r="I25" s="7">
        <v>2.2000000000000001E-3</v>
      </c>
      <c r="J25" s="8">
        <v>2</v>
      </c>
      <c r="K25" s="5">
        <v>561</v>
      </c>
      <c r="L25" s="5">
        <f t="shared" si="14"/>
        <v>1122</v>
      </c>
      <c r="M25" s="5">
        <f t="shared" si="15"/>
        <v>3523.08</v>
      </c>
      <c r="N25" s="9">
        <f t="shared" si="5"/>
        <v>0.88076999999999994</v>
      </c>
      <c r="O25" s="9">
        <f t="shared" si="6"/>
        <v>0.44038499999999997</v>
      </c>
      <c r="P25" s="5">
        <v>0.23300000000000001</v>
      </c>
      <c r="Q25" s="5">
        <v>0.51</v>
      </c>
      <c r="R25" s="5">
        <v>87</v>
      </c>
      <c r="S25" s="6" t="s">
        <v>43</v>
      </c>
      <c r="T25" s="6" t="s">
        <v>43</v>
      </c>
      <c r="U25" s="5" t="s">
        <v>62</v>
      </c>
    </row>
    <row r="26" spans="2:21" x14ac:dyDescent="0.25">
      <c r="B26" s="11" t="s">
        <v>66</v>
      </c>
      <c r="C26" s="5" t="s">
        <v>46</v>
      </c>
      <c r="D26" s="5" t="s">
        <v>46</v>
      </c>
      <c r="E26" s="10">
        <v>527000</v>
      </c>
      <c r="F26" s="14"/>
      <c r="G26" s="14"/>
      <c r="H26" s="14"/>
      <c r="I26" s="7">
        <v>1E-3</v>
      </c>
      <c r="J26" s="8">
        <v>4</v>
      </c>
      <c r="K26" s="5">
        <v>763</v>
      </c>
      <c r="L26" s="5">
        <f t="shared" si="14"/>
        <v>1526</v>
      </c>
      <c r="M26" s="5">
        <f t="shared" si="15"/>
        <v>4791.6400000000003</v>
      </c>
      <c r="N26" s="9">
        <f t="shared" si="5"/>
        <v>1.19791</v>
      </c>
      <c r="O26" s="9">
        <f t="shared" si="6"/>
        <v>0.59895500000000002</v>
      </c>
      <c r="P26" s="5">
        <v>0.26500000000000001</v>
      </c>
      <c r="Q26" s="5">
        <v>0.63500000000000001</v>
      </c>
      <c r="R26" s="5">
        <v>53</v>
      </c>
      <c r="S26" s="6" t="s">
        <v>43</v>
      </c>
      <c r="T26" s="6" t="s">
        <v>43</v>
      </c>
      <c r="U26" s="5" t="s">
        <v>62</v>
      </c>
    </row>
    <row r="27" spans="2:21" x14ac:dyDescent="0.25">
      <c r="B27" s="11" t="s">
        <v>67</v>
      </c>
      <c r="C27" s="10">
        <v>1257000</v>
      </c>
      <c r="D27" s="10">
        <v>1186000</v>
      </c>
      <c r="E27" s="10">
        <v>1221000</v>
      </c>
      <c r="F27" s="14"/>
      <c r="G27" s="14"/>
      <c r="H27" s="14"/>
      <c r="I27" s="7">
        <v>2.8799999999999999E-2</v>
      </c>
      <c r="J27" s="8">
        <v>15</v>
      </c>
      <c r="K27" s="5">
        <v>2576</v>
      </c>
      <c r="L27" s="5">
        <f t="shared" si="14"/>
        <v>5152</v>
      </c>
      <c r="M27" s="5">
        <f t="shared" si="15"/>
        <v>16177.28</v>
      </c>
      <c r="N27" s="9">
        <f t="shared" si="5"/>
        <v>4.0443199999999999</v>
      </c>
      <c r="O27" s="9">
        <f t="shared" si="6"/>
        <v>2.02216</v>
      </c>
      <c r="P27" s="5">
        <v>1.3520000000000001</v>
      </c>
      <c r="Q27" s="5">
        <v>2.6389999999999998</v>
      </c>
      <c r="R27" s="5">
        <v>93.7</v>
      </c>
      <c r="S27" s="5">
        <v>146.69999999999999</v>
      </c>
      <c r="T27" s="6" t="s">
        <v>68</v>
      </c>
      <c r="U27" s="5" t="s">
        <v>62</v>
      </c>
    </row>
    <row r="28" spans="2:21" x14ac:dyDescent="0.25">
      <c r="B28" s="11" t="s">
        <v>69</v>
      </c>
      <c r="C28" s="5" t="s">
        <v>46</v>
      </c>
      <c r="D28" s="5" t="s">
        <v>46</v>
      </c>
      <c r="E28" s="10">
        <v>3560000</v>
      </c>
      <c r="F28" s="14"/>
      <c r="G28" s="14"/>
      <c r="H28" s="14"/>
      <c r="I28" s="7">
        <v>2.8000000000000001E-2</v>
      </c>
      <c r="J28" s="8">
        <v>79</v>
      </c>
      <c r="K28" s="5">
        <v>734</v>
      </c>
      <c r="L28" s="5">
        <f t="shared" si="14"/>
        <v>1468</v>
      </c>
      <c r="M28" s="5">
        <f t="shared" si="15"/>
        <v>4609.5200000000004</v>
      </c>
      <c r="N28" s="9">
        <f t="shared" si="5"/>
        <v>1.1523800000000002</v>
      </c>
      <c r="O28" s="9">
        <f t="shared" si="6"/>
        <v>0.57619000000000009</v>
      </c>
      <c r="P28" s="5">
        <v>0.224</v>
      </c>
      <c r="Q28" s="5">
        <v>0.57299999999999995</v>
      </c>
      <c r="R28" s="5">
        <v>100</v>
      </c>
      <c r="S28" s="5" t="s">
        <v>43</v>
      </c>
      <c r="T28" s="6" t="s">
        <v>43</v>
      </c>
      <c r="U28" s="5" t="s">
        <v>62</v>
      </c>
    </row>
    <row r="29" spans="2:21" x14ac:dyDescent="0.25">
      <c r="B29" s="2" t="s">
        <v>10</v>
      </c>
      <c r="C29" s="10">
        <v>3040000000</v>
      </c>
      <c r="D29" s="10">
        <v>2700000000</v>
      </c>
      <c r="E29" s="10">
        <v>2876000000</v>
      </c>
      <c r="F29" s="9">
        <f>1+(C29/$C$54)</f>
        <v>200.89041095890411</v>
      </c>
      <c r="G29" s="9">
        <f t="shared" ref="G29" si="18">1+(D29/$C$54)</f>
        <v>178.53424657534245</v>
      </c>
      <c r="H29" s="9">
        <f t="shared" ref="H29" si="19">1+(E29/$C$54)</f>
        <v>190.10684931506847</v>
      </c>
      <c r="I29" s="7">
        <v>4.3999999999999997E-2</v>
      </c>
      <c r="J29" s="8">
        <v>30799</v>
      </c>
      <c r="K29" s="5">
        <v>25362</v>
      </c>
      <c r="L29" s="5">
        <f t="shared" si="14"/>
        <v>50724</v>
      </c>
      <c r="M29" s="5">
        <f t="shared" si="15"/>
        <v>159273.36000000002</v>
      </c>
      <c r="N29" s="9">
        <f t="shared" si="5"/>
        <v>39.818340000000006</v>
      </c>
      <c r="O29" s="9">
        <f t="shared" si="6"/>
        <v>19.909170000000003</v>
      </c>
      <c r="P29" s="5">
        <v>8.69</v>
      </c>
      <c r="Q29" s="5">
        <v>21.3</v>
      </c>
      <c r="R29" s="5">
        <v>76</v>
      </c>
      <c r="S29" s="6" t="s">
        <v>55</v>
      </c>
      <c r="T29" s="6" t="s">
        <v>48</v>
      </c>
      <c r="U29" s="5" t="s">
        <v>49</v>
      </c>
    </row>
    <row r="30" spans="2:21" x14ac:dyDescent="0.25">
      <c r="B30" s="11" t="s">
        <v>72</v>
      </c>
      <c r="C30" s="5" t="s">
        <v>46</v>
      </c>
      <c r="D30" s="5" t="s">
        <v>46</v>
      </c>
      <c r="E30" s="10">
        <v>129000</v>
      </c>
      <c r="F30" s="14"/>
      <c r="G30" s="14"/>
      <c r="H30" s="14"/>
      <c r="I30" s="7">
        <v>1.2999999999999999E-3</v>
      </c>
      <c r="J30" s="8">
        <v>1</v>
      </c>
      <c r="K30" s="5">
        <v>235</v>
      </c>
      <c r="L30" s="5">
        <f t="shared" si="14"/>
        <v>470</v>
      </c>
      <c r="M30" s="5">
        <f t="shared" si="15"/>
        <v>1475.8</v>
      </c>
      <c r="N30" s="9">
        <f t="shared" si="5"/>
        <v>0.36895</v>
      </c>
      <c r="O30" s="9">
        <f t="shared" si="6"/>
        <v>0.184475</v>
      </c>
      <c r="P30" s="5">
        <v>7.9000000000000001E-2</v>
      </c>
      <c r="Q30" s="5">
        <v>0.193</v>
      </c>
      <c r="R30" s="5">
        <v>60</v>
      </c>
      <c r="S30" s="6" t="s">
        <v>43</v>
      </c>
      <c r="T30" s="6" t="s">
        <v>43</v>
      </c>
      <c r="U30" s="5" t="s">
        <v>73</v>
      </c>
    </row>
    <row r="31" spans="2:21" x14ac:dyDescent="0.25">
      <c r="B31" s="11" t="s">
        <v>74</v>
      </c>
      <c r="C31" s="5" t="s">
        <v>46</v>
      </c>
      <c r="D31" s="5" t="s">
        <v>46</v>
      </c>
      <c r="E31" s="10">
        <v>191000</v>
      </c>
      <c r="F31" s="14"/>
      <c r="G31" s="14"/>
      <c r="H31" s="14"/>
      <c r="I31" s="7">
        <v>1.1999999999999999E-3</v>
      </c>
      <c r="J31" s="8">
        <v>2</v>
      </c>
      <c r="K31" s="5">
        <v>578</v>
      </c>
      <c r="L31" s="5">
        <f t="shared" si="14"/>
        <v>1156</v>
      </c>
      <c r="M31" s="5">
        <f t="shared" si="15"/>
        <v>3629.84</v>
      </c>
      <c r="N31" s="9">
        <f t="shared" si="5"/>
        <v>0.90746000000000004</v>
      </c>
      <c r="O31" s="9">
        <f t="shared" si="6"/>
        <v>0.45373000000000002</v>
      </c>
      <c r="P31" s="5">
        <v>0.27</v>
      </c>
      <c r="Q31" s="5">
        <v>0.55800000000000005</v>
      </c>
      <c r="R31" s="5">
        <v>60</v>
      </c>
      <c r="S31" s="6" t="s">
        <v>43</v>
      </c>
      <c r="T31" s="6" t="s">
        <v>43</v>
      </c>
      <c r="U31" s="5" t="s">
        <v>73</v>
      </c>
    </row>
    <row r="32" spans="2:21" x14ac:dyDescent="0.25">
      <c r="B32" s="11" t="s">
        <v>75</v>
      </c>
      <c r="C32" s="5" t="s">
        <v>46</v>
      </c>
      <c r="D32" s="5" t="s">
        <v>46</v>
      </c>
      <c r="E32" s="10">
        <v>266000</v>
      </c>
      <c r="F32" s="14"/>
      <c r="G32" s="14"/>
      <c r="H32" s="14"/>
      <c r="I32" s="7">
        <v>3.8999999999999998E-3</v>
      </c>
      <c r="J32" s="8">
        <v>4</v>
      </c>
      <c r="K32" s="5">
        <v>584</v>
      </c>
      <c r="L32" s="5">
        <f t="shared" si="14"/>
        <v>1168</v>
      </c>
      <c r="M32" s="5">
        <f t="shared" si="15"/>
        <v>3667.52</v>
      </c>
      <c r="N32" s="9">
        <f t="shared" si="5"/>
        <v>0.91688000000000003</v>
      </c>
      <c r="O32" s="9">
        <f t="shared" si="6"/>
        <v>0.45844000000000001</v>
      </c>
      <c r="P32" s="5">
        <v>0.2</v>
      </c>
      <c r="Q32" s="5">
        <v>0.52</v>
      </c>
      <c r="R32" s="5">
        <v>75</v>
      </c>
      <c r="S32" s="6" t="s">
        <v>43</v>
      </c>
      <c r="T32" s="6" t="s">
        <v>43</v>
      </c>
      <c r="U32" s="5" t="s">
        <v>73</v>
      </c>
    </row>
    <row r="33" spans="2:21" x14ac:dyDescent="0.25">
      <c r="B33" s="11" t="s">
        <v>76</v>
      </c>
      <c r="C33" s="5" t="s">
        <v>46</v>
      </c>
      <c r="D33" s="5" t="s">
        <v>46</v>
      </c>
      <c r="E33" s="10">
        <v>435000</v>
      </c>
      <c r="F33" s="14"/>
      <c r="G33" s="14"/>
      <c r="H33" s="14"/>
      <c r="I33" s="7">
        <v>1.1000000000000001E-3</v>
      </c>
      <c r="J33" s="8">
        <v>8</v>
      </c>
      <c r="K33" s="5">
        <v>788</v>
      </c>
      <c r="L33" s="5">
        <f t="shared" si="14"/>
        <v>1576</v>
      </c>
      <c r="M33" s="5">
        <f t="shared" si="15"/>
        <v>4948.6400000000003</v>
      </c>
      <c r="N33" s="9">
        <f t="shared" si="5"/>
        <v>1.23716</v>
      </c>
      <c r="O33" s="9">
        <f t="shared" si="6"/>
        <v>0.61858000000000002</v>
      </c>
      <c r="P33" s="5">
        <v>0.38</v>
      </c>
      <c r="Q33" s="5">
        <v>0.77300000000000002</v>
      </c>
      <c r="R33" s="5">
        <v>70</v>
      </c>
      <c r="S33" s="6" t="s">
        <v>37</v>
      </c>
      <c r="T33" s="6" t="s">
        <v>55</v>
      </c>
      <c r="U33" s="5" t="s">
        <v>73</v>
      </c>
    </row>
    <row r="34" spans="2:21" x14ac:dyDescent="0.25">
      <c r="B34" s="11" t="s">
        <v>77</v>
      </c>
      <c r="C34" s="5" t="s">
        <v>46</v>
      </c>
      <c r="D34" s="5" t="s">
        <v>46</v>
      </c>
      <c r="E34" s="10">
        <v>583000</v>
      </c>
      <c r="F34" s="14"/>
      <c r="G34" s="14"/>
      <c r="H34" s="14"/>
      <c r="I34" s="7">
        <v>1.4E-3</v>
      </c>
      <c r="J34" s="8">
        <v>13</v>
      </c>
      <c r="K34" s="5">
        <v>761</v>
      </c>
      <c r="L34" s="5">
        <f t="shared" si="14"/>
        <v>1522</v>
      </c>
      <c r="M34" s="5">
        <f t="shared" si="15"/>
        <v>4779.08</v>
      </c>
      <c r="N34" s="9">
        <f t="shared" si="5"/>
        <v>1.1947699999999999</v>
      </c>
      <c r="O34" s="9">
        <f t="shared" si="6"/>
        <v>0.59738499999999994</v>
      </c>
      <c r="P34" s="5">
        <v>0.34799999999999998</v>
      </c>
      <c r="Q34" s="5">
        <v>0.72599999999999998</v>
      </c>
      <c r="R34" s="5">
        <v>75</v>
      </c>
      <c r="S34" s="6" t="s">
        <v>43</v>
      </c>
      <c r="T34" s="6" t="s">
        <v>43</v>
      </c>
      <c r="U34" s="5" t="s">
        <v>73</v>
      </c>
    </row>
    <row r="35" spans="2:21" x14ac:dyDescent="0.25">
      <c r="B35" s="2" t="s">
        <v>9</v>
      </c>
      <c r="C35" s="10">
        <v>4553900000</v>
      </c>
      <c r="D35" s="10">
        <v>4452900000</v>
      </c>
      <c r="E35" s="10">
        <v>4503000000</v>
      </c>
      <c r="F35" s="9">
        <f>1+(C35/$C$54)</f>
        <v>300.43452054794517</v>
      </c>
      <c r="G35" s="9">
        <f t="shared" ref="G35" si="20">1+(D35/$C$54)</f>
        <v>293.79342465753422</v>
      </c>
      <c r="H35" s="9">
        <f t="shared" ref="H35" si="21">1+(E35/$C$54)</f>
        <v>297.08767123287669</v>
      </c>
      <c r="I35" s="7">
        <v>1.0999999999999999E-2</v>
      </c>
      <c r="J35" s="8">
        <v>60190</v>
      </c>
      <c r="K35" s="5">
        <v>24622</v>
      </c>
      <c r="L35" s="5">
        <f t="shared" si="14"/>
        <v>49244</v>
      </c>
      <c r="M35" s="5">
        <f t="shared" si="15"/>
        <v>154626.16</v>
      </c>
      <c r="N35" s="9">
        <f t="shared" si="5"/>
        <v>38.65654</v>
      </c>
      <c r="O35" s="9">
        <f t="shared" si="6"/>
        <v>19.32827</v>
      </c>
      <c r="P35" s="5">
        <v>11.15</v>
      </c>
      <c r="Q35" s="5">
        <v>23.5</v>
      </c>
      <c r="R35" s="5">
        <v>72</v>
      </c>
      <c r="S35" s="6" t="s">
        <v>55</v>
      </c>
      <c r="T35" s="6" t="s">
        <v>48</v>
      </c>
      <c r="U35" s="5" t="s">
        <v>78</v>
      </c>
    </row>
    <row r="36" spans="2:21" x14ac:dyDescent="0.25">
      <c r="B36" s="2" t="s">
        <v>20</v>
      </c>
      <c r="C36" s="5" t="s">
        <v>46</v>
      </c>
      <c r="D36" s="5" t="s">
        <v>46</v>
      </c>
      <c r="E36" s="10">
        <v>6200000000</v>
      </c>
      <c r="F36" s="9" t="e">
        <f>INT(C36/$C$54)</f>
        <v>#VALUE!</v>
      </c>
      <c r="G36" s="9" t="e">
        <f>INT(D36/$C$54)</f>
        <v>#VALUE!</v>
      </c>
      <c r="H36" s="9">
        <f>INT(E36/$C$54)</f>
        <v>407</v>
      </c>
      <c r="I36" s="7">
        <v>0</v>
      </c>
      <c r="J36" s="8" t="s">
        <v>46</v>
      </c>
      <c r="K36" s="5" t="s">
        <v>46</v>
      </c>
      <c r="L36" s="5" t="s">
        <v>46</v>
      </c>
      <c r="M36" s="5" t="s">
        <v>46</v>
      </c>
      <c r="N36" s="9" t="e">
        <f t="shared" si="5"/>
        <v>#VALUE!</v>
      </c>
      <c r="O36" s="9" t="e">
        <f t="shared" si="6"/>
        <v>#VALUE!</v>
      </c>
      <c r="P36" s="5" t="s">
        <v>46</v>
      </c>
      <c r="Q36" s="5" t="s">
        <v>46</v>
      </c>
      <c r="R36" s="6">
        <v>50</v>
      </c>
      <c r="S36" s="5" t="s">
        <v>43</v>
      </c>
      <c r="T36" s="5" t="s">
        <v>43</v>
      </c>
      <c r="U36" s="5" t="s">
        <v>79</v>
      </c>
    </row>
    <row r="37" spans="2:21" x14ac:dyDescent="0.25">
      <c r="B37" s="11" t="s">
        <v>11</v>
      </c>
      <c r="C37" s="10">
        <v>7300000000</v>
      </c>
      <c r="D37" s="10">
        <v>4430000000</v>
      </c>
      <c r="E37" s="10">
        <v>5874000000</v>
      </c>
      <c r="F37" s="9">
        <f>1+(C37/$C$54)</f>
        <v>481</v>
      </c>
      <c r="G37" s="9">
        <f t="shared" ref="G37:G40" si="22">1+(D37/$C$54)</f>
        <v>292.28767123287668</v>
      </c>
      <c r="H37" s="9">
        <f t="shared" ref="H37:H40" si="23">1+(E37/$C$54)</f>
        <v>387.23561643835615</v>
      </c>
      <c r="I37" s="7">
        <v>0.248</v>
      </c>
      <c r="J37" s="8">
        <v>90465</v>
      </c>
      <c r="K37" s="5">
        <v>1184</v>
      </c>
      <c r="L37" s="5">
        <f t="shared" ref="L37:L46" si="24">K37*2</f>
        <v>2368</v>
      </c>
      <c r="M37" s="5">
        <f t="shared" ref="M37:M46" si="25">(K37*3.14)*2</f>
        <v>7435.52</v>
      </c>
      <c r="N37" s="9">
        <f t="shared" si="5"/>
        <v>1.8588800000000001</v>
      </c>
      <c r="O37" s="9">
        <f t="shared" si="6"/>
        <v>0.92944000000000004</v>
      </c>
      <c r="P37" s="5">
        <v>0.65800000000000003</v>
      </c>
      <c r="Q37" s="5">
        <v>1.2290000000000001</v>
      </c>
      <c r="R37" s="5">
        <v>44</v>
      </c>
      <c r="S37" s="5">
        <v>0.3</v>
      </c>
      <c r="T37" s="6" t="s">
        <v>80</v>
      </c>
      <c r="U37" s="5" t="s">
        <v>86</v>
      </c>
    </row>
    <row r="38" spans="2:21" x14ac:dyDescent="0.25">
      <c r="B38" s="11" t="s">
        <v>12</v>
      </c>
      <c r="C38" s="10">
        <v>7700000000</v>
      </c>
      <c r="D38" s="10">
        <v>5100000000</v>
      </c>
      <c r="E38" s="10">
        <v>6400000000</v>
      </c>
      <c r="F38" s="9">
        <f>1+(C38/$C$54)</f>
        <v>507.30136986301369</v>
      </c>
      <c r="G38" s="9">
        <f t="shared" si="22"/>
        <v>336.34246575342462</v>
      </c>
      <c r="H38" s="9">
        <f t="shared" si="23"/>
        <v>421.82191780821915</v>
      </c>
      <c r="I38" s="7">
        <v>0.19500000000000001</v>
      </c>
      <c r="J38" s="8">
        <v>103468</v>
      </c>
      <c r="K38" s="5">
        <v>650</v>
      </c>
      <c r="L38" s="5">
        <f t="shared" si="24"/>
        <v>1300</v>
      </c>
      <c r="M38" s="5">
        <f t="shared" si="25"/>
        <v>4082</v>
      </c>
      <c r="N38" s="9">
        <f t="shared" si="5"/>
        <v>1.0205</v>
      </c>
      <c r="O38" s="9">
        <f t="shared" si="6"/>
        <v>0.51024999999999998</v>
      </c>
      <c r="P38" s="5">
        <v>0.63</v>
      </c>
      <c r="Q38" s="5">
        <v>0.91</v>
      </c>
      <c r="R38" s="5">
        <v>50</v>
      </c>
      <c r="S38" s="6" t="s">
        <v>55</v>
      </c>
      <c r="T38" s="6" t="s">
        <v>55</v>
      </c>
      <c r="U38" s="5" t="s">
        <v>85</v>
      </c>
    </row>
    <row r="39" spans="2:21" x14ac:dyDescent="0.25">
      <c r="B39" s="11" t="s">
        <v>18</v>
      </c>
      <c r="C39" s="10">
        <v>14600000000</v>
      </c>
      <c r="D39" s="10">
        <v>5700000000</v>
      </c>
      <c r="E39" s="10">
        <v>10100000000</v>
      </c>
      <c r="F39" s="9">
        <f>1+(C39/$C$54)</f>
        <v>961</v>
      </c>
      <c r="G39" s="9">
        <f t="shared" si="22"/>
        <v>375.79452054794518</v>
      </c>
      <c r="H39" s="9">
        <f t="shared" si="23"/>
        <v>665.10958904109589</v>
      </c>
      <c r="I39" s="7">
        <v>0.437</v>
      </c>
      <c r="J39" s="8">
        <v>204624</v>
      </c>
      <c r="K39" s="5">
        <v>1163</v>
      </c>
      <c r="L39" s="5">
        <f t="shared" si="24"/>
        <v>2326</v>
      </c>
      <c r="M39" s="5">
        <f t="shared" si="25"/>
        <v>7303.64</v>
      </c>
      <c r="N39" s="9">
        <f t="shared" si="5"/>
        <v>1.8259100000000001</v>
      </c>
      <c r="O39" s="9">
        <f t="shared" si="6"/>
        <v>0.91295500000000007</v>
      </c>
      <c r="P39" s="5">
        <v>0.82699999999999996</v>
      </c>
      <c r="Q39" s="5">
        <v>1.3839999999999999</v>
      </c>
      <c r="R39" s="5">
        <v>42.5</v>
      </c>
      <c r="S39" s="6" t="s">
        <v>55</v>
      </c>
      <c r="T39" s="6" t="s">
        <v>55</v>
      </c>
      <c r="U39" s="5" t="s">
        <v>84</v>
      </c>
    </row>
    <row r="40" spans="2:21" x14ac:dyDescent="0.25">
      <c r="B40" s="11" t="s">
        <v>13</v>
      </c>
      <c r="C40" s="10">
        <v>7900000000</v>
      </c>
      <c r="D40" s="10">
        <v>5700000000</v>
      </c>
      <c r="E40" s="10">
        <v>6800000000</v>
      </c>
      <c r="F40" s="9">
        <f>1+(C40/$C$54)</f>
        <v>520.45205479452056</v>
      </c>
      <c r="G40" s="9">
        <f t="shared" si="22"/>
        <v>375.79452054794518</v>
      </c>
      <c r="H40" s="9">
        <f t="shared" si="23"/>
        <v>448.12328767123284</v>
      </c>
      <c r="I40" s="7">
        <v>0.159</v>
      </c>
      <c r="J40" s="8">
        <v>113183</v>
      </c>
      <c r="K40" s="5">
        <v>715</v>
      </c>
      <c r="L40" s="5">
        <f t="shared" si="24"/>
        <v>1430</v>
      </c>
      <c r="M40" s="5">
        <f t="shared" si="25"/>
        <v>4490.2</v>
      </c>
      <c r="N40" s="9">
        <f t="shared" si="5"/>
        <v>1.1225499999999999</v>
      </c>
      <c r="O40" s="9">
        <f t="shared" si="6"/>
        <v>0.56127499999999997</v>
      </c>
      <c r="P40" s="6" t="s">
        <v>55</v>
      </c>
      <c r="Q40" s="6" t="s">
        <v>55</v>
      </c>
      <c r="R40" s="5">
        <v>42</v>
      </c>
      <c r="S40" s="6" t="s">
        <v>55</v>
      </c>
      <c r="T40" s="6" t="s">
        <v>55</v>
      </c>
      <c r="U40" s="5" t="s">
        <v>83</v>
      </c>
    </row>
    <row r="41" spans="2:21" x14ac:dyDescent="0.25">
      <c r="B41" s="11" t="s">
        <v>82</v>
      </c>
      <c r="C41" s="10">
        <v>6700000000</v>
      </c>
      <c r="D41" s="10">
        <v>6200000000</v>
      </c>
      <c r="E41" s="10">
        <v>6400000000</v>
      </c>
      <c r="F41" s="9">
        <f t="shared" ref="F41:F46" si="26">INT(C41/$C$54)</f>
        <v>440</v>
      </c>
      <c r="G41" s="9">
        <f t="shared" ref="G41:H46" si="27">INT(D41/$C$54)</f>
        <v>407</v>
      </c>
      <c r="H41" s="9">
        <f t="shared" si="27"/>
        <v>420</v>
      </c>
      <c r="I41" s="7">
        <v>3.9300000000000002E-2</v>
      </c>
      <c r="J41" s="8">
        <v>104451</v>
      </c>
      <c r="K41" s="5">
        <v>1110</v>
      </c>
      <c r="L41" s="5">
        <f t="shared" si="24"/>
        <v>2220</v>
      </c>
      <c r="M41" s="5">
        <f t="shared" si="25"/>
        <v>6970.8</v>
      </c>
      <c r="N41" s="9">
        <f t="shared" si="5"/>
        <v>1.7427000000000001</v>
      </c>
      <c r="O41" s="9">
        <f t="shared" si="6"/>
        <v>0.87135000000000007</v>
      </c>
      <c r="P41" s="5">
        <v>0.376</v>
      </c>
      <c r="Q41" s="5">
        <v>0.71199999999999997</v>
      </c>
      <c r="R41" s="5">
        <v>43</v>
      </c>
      <c r="S41" s="5" t="s">
        <v>55</v>
      </c>
      <c r="T41" s="5" t="s">
        <v>55</v>
      </c>
      <c r="U41" s="5" t="s">
        <v>83</v>
      </c>
    </row>
    <row r="42" spans="2:21" x14ac:dyDescent="0.25">
      <c r="B42" s="11" t="s">
        <v>89</v>
      </c>
      <c r="C42" s="10">
        <v>7370000000</v>
      </c>
      <c r="D42" s="10">
        <v>4500000000</v>
      </c>
      <c r="E42" s="10">
        <v>5900000000</v>
      </c>
      <c r="F42" s="9">
        <f t="shared" si="26"/>
        <v>484</v>
      </c>
      <c r="G42" s="9">
        <f t="shared" si="27"/>
        <v>295</v>
      </c>
      <c r="H42" s="9">
        <f t="shared" si="27"/>
        <v>387</v>
      </c>
      <c r="I42" s="7">
        <v>0.24199999999999999</v>
      </c>
      <c r="J42" s="8">
        <v>91295</v>
      </c>
      <c r="K42" s="5">
        <v>650</v>
      </c>
      <c r="L42" s="5">
        <f t="shared" si="24"/>
        <v>1300</v>
      </c>
      <c r="M42" s="5">
        <f t="shared" si="25"/>
        <v>4082</v>
      </c>
      <c r="N42" s="9">
        <f t="shared" si="5"/>
        <v>1.0205</v>
      </c>
      <c r="O42" s="9">
        <f t="shared" si="6"/>
        <v>0.51024999999999998</v>
      </c>
      <c r="P42" s="5" t="s">
        <v>55</v>
      </c>
      <c r="Q42" s="5" t="s">
        <v>55</v>
      </c>
      <c r="R42" s="5">
        <v>44</v>
      </c>
      <c r="S42" s="5" t="s">
        <v>55</v>
      </c>
      <c r="T42" s="5" t="s">
        <v>55</v>
      </c>
      <c r="U42" s="5" t="s">
        <v>81</v>
      </c>
    </row>
    <row r="43" spans="2:21" x14ac:dyDescent="0.25">
      <c r="B43" s="11" t="s">
        <v>90</v>
      </c>
      <c r="C43" s="10">
        <v>6700000000</v>
      </c>
      <c r="D43" s="10">
        <v>6057000000</v>
      </c>
      <c r="E43" s="10">
        <v>6400000000</v>
      </c>
      <c r="F43" s="9">
        <f t="shared" si="26"/>
        <v>440</v>
      </c>
      <c r="G43" s="9">
        <f t="shared" si="27"/>
        <v>398</v>
      </c>
      <c r="H43" s="9">
        <f t="shared" si="27"/>
        <v>420</v>
      </c>
      <c r="I43" s="7">
        <v>5.6000000000000001E-2</v>
      </c>
      <c r="J43" s="8">
        <v>102646</v>
      </c>
      <c r="K43" s="5">
        <v>757</v>
      </c>
      <c r="L43" s="5">
        <f t="shared" si="24"/>
        <v>1514</v>
      </c>
      <c r="M43" s="5">
        <f t="shared" si="25"/>
        <v>4753.96</v>
      </c>
      <c r="N43" s="9">
        <f t="shared" si="5"/>
        <v>1.18849</v>
      </c>
      <c r="O43" s="9">
        <f t="shared" si="6"/>
        <v>0.59424500000000002</v>
      </c>
      <c r="P43" s="5">
        <v>0.15</v>
      </c>
      <c r="Q43" s="5">
        <v>0.39</v>
      </c>
      <c r="R43" s="5">
        <v>43</v>
      </c>
      <c r="S43" s="5" t="s">
        <v>55</v>
      </c>
      <c r="T43" s="5" t="s">
        <v>55</v>
      </c>
      <c r="U43" s="5" t="s">
        <v>81</v>
      </c>
    </row>
    <row r="44" spans="2:21" x14ac:dyDescent="0.25">
      <c r="B44" s="11" t="s">
        <v>93</v>
      </c>
      <c r="C44" s="10">
        <v>7100000000</v>
      </c>
      <c r="D44" s="10">
        <v>4500000000</v>
      </c>
      <c r="E44" s="10">
        <v>5800000000</v>
      </c>
      <c r="F44" s="9">
        <f t="shared" si="26"/>
        <v>466</v>
      </c>
      <c r="G44" s="9">
        <f t="shared" si="27"/>
        <v>295</v>
      </c>
      <c r="H44" s="9">
        <f t="shared" si="27"/>
        <v>381</v>
      </c>
      <c r="I44" s="7">
        <v>0.22700000000000001</v>
      </c>
      <c r="J44" s="8">
        <v>89552</v>
      </c>
      <c r="K44" s="5">
        <v>917</v>
      </c>
      <c r="L44" s="5">
        <f t="shared" si="24"/>
        <v>1834</v>
      </c>
      <c r="M44" s="5">
        <f t="shared" si="25"/>
        <v>5758.76</v>
      </c>
      <c r="N44" s="9">
        <f t="shared" si="5"/>
        <v>1.4396900000000001</v>
      </c>
      <c r="O44" s="9">
        <f t="shared" si="6"/>
        <v>0.71984500000000007</v>
      </c>
      <c r="P44" s="5">
        <v>0.27</v>
      </c>
      <c r="Q44" s="5">
        <v>0.45</v>
      </c>
      <c r="R44" s="5">
        <v>44</v>
      </c>
      <c r="S44" s="5" t="s">
        <v>55</v>
      </c>
      <c r="T44" s="5" t="s">
        <v>55</v>
      </c>
      <c r="U44" s="5" t="s">
        <v>83</v>
      </c>
    </row>
    <row r="45" spans="2:21" x14ac:dyDescent="0.25">
      <c r="B45" s="11" t="s">
        <v>94</v>
      </c>
      <c r="C45" s="10">
        <v>7159000000</v>
      </c>
      <c r="D45" s="10">
        <v>5386000000</v>
      </c>
      <c r="E45" s="10">
        <v>6272000000</v>
      </c>
      <c r="F45" s="9">
        <f t="shared" si="26"/>
        <v>470</v>
      </c>
      <c r="G45" s="9">
        <f t="shared" si="27"/>
        <v>354</v>
      </c>
      <c r="H45" s="9">
        <f t="shared" si="27"/>
        <v>412</v>
      </c>
      <c r="I45" s="7">
        <v>0.14099999999999999</v>
      </c>
      <c r="J45" s="8">
        <f>271.53*365</f>
        <v>99108.45</v>
      </c>
      <c r="K45" s="5">
        <v>934</v>
      </c>
      <c r="L45" s="5">
        <f t="shared" si="24"/>
        <v>1868</v>
      </c>
      <c r="M45" s="5">
        <f t="shared" si="25"/>
        <v>5865.52</v>
      </c>
      <c r="N45" s="9">
        <f t="shared" si="5"/>
        <v>1.46638</v>
      </c>
      <c r="O45" s="9">
        <f t="shared" si="6"/>
        <v>0.73319000000000001</v>
      </c>
      <c r="P45" s="5" t="s">
        <v>55</v>
      </c>
      <c r="Q45" s="5" t="s">
        <v>55</v>
      </c>
      <c r="R45" s="5">
        <v>43</v>
      </c>
      <c r="S45" s="5" t="s">
        <v>55</v>
      </c>
      <c r="T45" s="5" t="s">
        <v>55</v>
      </c>
      <c r="U45" s="5" t="s">
        <v>81</v>
      </c>
    </row>
    <row r="46" spans="2:21" x14ac:dyDescent="0.25">
      <c r="B46" s="11" t="s">
        <v>95</v>
      </c>
      <c r="C46" s="10">
        <v>6900000000</v>
      </c>
      <c r="D46" s="10">
        <v>5600000000</v>
      </c>
      <c r="E46" s="10">
        <v>6311300000</v>
      </c>
      <c r="F46" s="9">
        <f t="shared" si="26"/>
        <v>453</v>
      </c>
      <c r="G46" s="9">
        <f t="shared" si="27"/>
        <v>368</v>
      </c>
      <c r="H46" s="9">
        <f t="shared" si="27"/>
        <v>414</v>
      </c>
      <c r="I46" s="7">
        <v>0.1031</v>
      </c>
      <c r="J46" s="8">
        <v>100091</v>
      </c>
      <c r="K46" s="5">
        <v>854</v>
      </c>
      <c r="L46" s="5">
        <f t="shared" si="24"/>
        <v>1708</v>
      </c>
      <c r="M46" s="5">
        <f t="shared" si="25"/>
        <v>5363.12</v>
      </c>
      <c r="N46" s="9">
        <f t="shared" si="5"/>
        <v>1.3407800000000001</v>
      </c>
      <c r="O46" s="9">
        <f t="shared" si="6"/>
        <v>0.67039000000000004</v>
      </c>
      <c r="P46" s="5" t="s">
        <v>55</v>
      </c>
      <c r="Q46" s="5" t="s">
        <v>55</v>
      </c>
      <c r="R46" s="5" t="s">
        <v>55</v>
      </c>
      <c r="S46" s="5" t="s">
        <v>55</v>
      </c>
      <c r="T46" s="5" t="s">
        <v>55</v>
      </c>
      <c r="U46" s="5" t="s">
        <v>81</v>
      </c>
    </row>
    <row r="47" spans="2:21" x14ac:dyDescent="0.25">
      <c r="B47" s="2" t="s">
        <v>21</v>
      </c>
      <c r="F47" s="14"/>
      <c r="G47" s="14"/>
      <c r="H47" s="14"/>
      <c r="N47" s="9">
        <f t="shared" si="5"/>
        <v>0</v>
      </c>
      <c r="O47" s="9">
        <f t="shared" si="6"/>
        <v>0</v>
      </c>
    </row>
    <row r="48" spans="2:21" x14ac:dyDescent="0.25">
      <c r="B48" s="11" t="s">
        <v>91</v>
      </c>
      <c r="C48" s="10">
        <v>140000000000</v>
      </c>
      <c r="D48" s="10">
        <v>11400000000</v>
      </c>
      <c r="E48" s="10">
        <v>77500000000</v>
      </c>
      <c r="F48" s="9">
        <f t="shared" ref="F48:F49" si="28">INT(C48/$C$54)</f>
        <v>9205</v>
      </c>
      <c r="G48" s="9">
        <f t="shared" ref="G48:G49" si="29">INT(D48/$C$54)</f>
        <v>749</v>
      </c>
      <c r="H48" s="9">
        <f t="shared" ref="H48:H49" si="30">INT(E48/$C$54)</f>
        <v>5095</v>
      </c>
      <c r="I48" s="7">
        <v>0.85699999999999998</v>
      </c>
      <c r="J48" s="8">
        <f>11400*365</f>
        <v>4161000</v>
      </c>
      <c r="K48" s="5">
        <v>995</v>
      </c>
      <c r="L48" s="5">
        <f>K48*2</f>
        <v>1990</v>
      </c>
      <c r="M48" s="5">
        <f>(K48*3.14)*2</f>
        <v>6248.6</v>
      </c>
      <c r="N48" s="9">
        <f t="shared" si="5"/>
        <v>1.5621500000000001</v>
      </c>
      <c r="O48" s="9">
        <f t="shared" si="6"/>
        <v>0.78107500000000007</v>
      </c>
      <c r="P48" s="5" t="s">
        <v>55</v>
      </c>
      <c r="Q48" s="5" t="s">
        <v>55</v>
      </c>
      <c r="R48" s="5">
        <v>12</v>
      </c>
      <c r="S48" s="5" t="s">
        <v>55</v>
      </c>
      <c r="T48" s="5" t="s">
        <v>55</v>
      </c>
      <c r="U48" s="5" t="s">
        <v>92</v>
      </c>
    </row>
    <row r="49" spans="2:21" x14ac:dyDescent="0.25">
      <c r="B49" s="11" t="s">
        <v>96</v>
      </c>
      <c r="C49" s="10">
        <v>1510000000</v>
      </c>
      <c r="D49" s="10">
        <v>5030000000</v>
      </c>
      <c r="E49" s="10">
        <v>10050000000</v>
      </c>
      <c r="F49" s="9">
        <f t="shared" si="28"/>
        <v>99</v>
      </c>
      <c r="G49" s="9">
        <f t="shared" si="29"/>
        <v>330</v>
      </c>
      <c r="H49" s="9">
        <f t="shared" si="30"/>
        <v>660</v>
      </c>
      <c r="I49" s="7">
        <v>0.5</v>
      </c>
      <c r="J49" s="8">
        <f>550.98*365</f>
        <v>201107.7</v>
      </c>
      <c r="K49" s="5">
        <v>1280</v>
      </c>
      <c r="L49" s="5">
        <f>K49*2</f>
        <v>2560</v>
      </c>
      <c r="M49" s="5">
        <f>(K49*3.14)*2</f>
        <v>8038.4000000000005</v>
      </c>
      <c r="N49" s="9">
        <f t="shared" si="5"/>
        <v>2.0096000000000003</v>
      </c>
      <c r="O49" s="9">
        <f t="shared" si="6"/>
        <v>1.0048000000000001</v>
      </c>
      <c r="P49" s="5" t="s">
        <v>55</v>
      </c>
      <c r="Q49" s="5" t="s">
        <v>55</v>
      </c>
      <c r="R49" s="5" t="s">
        <v>55</v>
      </c>
      <c r="S49" s="5" t="s">
        <v>55</v>
      </c>
      <c r="T49" s="5" t="s">
        <v>55</v>
      </c>
      <c r="U49" s="5" t="s">
        <v>97</v>
      </c>
    </row>
    <row r="50" spans="2:21" x14ac:dyDescent="0.25">
      <c r="B50" s="2" t="s">
        <v>102</v>
      </c>
      <c r="C50" s="10">
        <f>MAX(C49,C46,C45,C44,C43,C42,C41,C40,C39,C38,C37,C35,C29,C21,C16,C15,C11,C8,C7,C6,C5,C4)</f>
        <v>14600000000</v>
      </c>
      <c r="D50" s="10">
        <f t="shared" ref="D50:E50" si="31">MAX(D49,D46,D45,D44,D43,D42,D41,D40,D39,D38,D37,D35,D29,D21,D16,D15,D11,D8,D7,D6,D5,D4)</f>
        <v>6200000000</v>
      </c>
      <c r="E50" s="10">
        <f t="shared" si="31"/>
        <v>10100000000</v>
      </c>
      <c r="F50" s="9">
        <f>MAX(F49,F46,F45,F44,F43,F42,F41,F40,F39,F38,F37,F35,F29,F21,F16,F15,F11,F8,F7,F6,F5,F4)</f>
        <v>961</v>
      </c>
      <c r="G50" s="9">
        <f t="shared" ref="G50:H50" si="32">MAX(G49,G46,G45,G44,G43,G42,G41,G40,G39,G38,G37,G35,G29,G21,G16,G15,G11,G8,G7,G6,G5,G4)</f>
        <v>407</v>
      </c>
      <c r="H50" s="9">
        <f t="shared" si="32"/>
        <v>665.10958904109589</v>
      </c>
    </row>
    <row r="51" spans="2:21" x14ac:dyDescent="0.25">
      <c r="B51" s="2" t="s">
        <v>103</v>
      </c>
      <c r="C51" s="10">
        <f>MIN(C50,C47,C46,C45,C44,C43,C42,C41,C40,C39,C38,C36,C30,C22,C17,C16,C15,C9,C8,C7,C6,C5)</f>
        <v>9517</v>
      </c>
      <c r="D51" s="10">
        <f t="shared" ref="D51:E51" si="33">MIN(D50,D47,D46,D45,D44,D43,D42,D41,D40,D39,D38,D36,D30,D22,D17,D16,D15,D9,D8,D7,D6,D5)</f>
        <v>9234</v>
      </c>
      <c r="E51" s="10">
        <f t="shared" si="33"/>
        <v>9376</v>
      </c>
      <c r="F51" s="9" t="e">
        <f>MIN(F50,F47,F46,F45,F44,F43,F42,F41,F40,F39,F38,F36,F30,F22,F17,F16,F15,F9,F8,F7,F6,F5)</f>
        <v>#VALUE!</v>
      </c>
      <c r="G51" s="9" t="e">
        <f t="shared" ref="G51:H51" si="34">MIN(G50,G47,G46,G45,G44,G43,G42,G41,G40,G39,G38,G36,G30,G22,G17,G16,G15,G9,G8,G7,G6,G5)</f>
        <v>#VALUE!</v>
      </c>
      <c r="H51" s="9">
        <f t="shared" si="34"/>
        <v>8.1013698630136979</v>
      </c>
    </row>
    <row r="52" spans="2:21" x14ac:dyDescent="0.25">
      <c r="B52" s="2" t="s">
        <v>104</v>
      </c>
      <c r="C52" s="10">
        <f>MEDIAN(C51,C48,C47,C46,C45,C44,C43,C42,C41,C40,C39,C37,C31,C23,C18,C17,C16,C10,C9,C8,C7,C6)</f>
        <v>6700000000</v>
      </c>
      <c r="D52" s="10">
        <f t="shared" ref="D52:E52" si="35">MEDIAN(D51,D48,D47,D46,D45,D44,D43,D42,D41,D40,D39,D37,D31,D23,D18,D17,D16,D10,D9,D8,D7,D6)</f>
        <v>4430000000</v>
      </c>
      <c r="E52" s="10">
        <f t="shared" si="35"/>
        <v>778000000</v>
      </c>
      <c r="F52" s="9" t="e">
        <f>MEDIAN(F51,F48,F47,F46,F45,F44,F43,F42,F41,F40,F39,F37,F31,F23,F18,F17,F16,F10,F9,F8,F7,F6)</f>
        <v>#VALUE!</v>
      </c>
      <c r="G52" s="9" t="e">
        <f t="shared" ref="G52:H52" si="36">MEDIAN(G51,G48,G47,G46,G45,G44,G43,G42,G41,G40,G39,G37,G31,G23,G18,G17,G16,G10,G9,G8,G7,G6)</f>
        <v>#VALUE!</v>
      </c>
      <c r="H52" s="9">
        <f t="shared" si="36"/>
        <v>399.61780821917807</v>
      </c>
    </row>
    <row r="53" spans="2:21" x14ac:dyDescent="0.25">
      <c r="B53" s="2"/>
      <c r="C53" s="10"/>
      <c r="D53" s="10"/>
      <c r="E53" s="10"/>
    </row>
    <row r="54" spans="2:21" x14ac:dyDescent="0.25">
      <c r="B54" s="2" t="s">
        <v>106</v>
      </c>
      <c r="C54" s="10">
        <f>C50/(C55*0.96)</f>
        <v>15208333.333333334</v>
      </c>
      <c r="D54" s="10"/>
      <c r="E54" s="10"/>
    </row>
    <row r="55" spans="2:21" x14ac:dyDescent="0.25">
      <c r="B55" s="2" t="s">
        <v>107</v>
      </c>
      <c r="C55" s="9">
        <v>1000</v>
      </c>
      <c r="D55" s="10"/>
      <c r="E55" s="10"/>
    </row>
    <row r="56" spans="2:21" x14ac:dyDescent="0.25">
      <c r="B56" s="2" t="s">
        <v>99</v>
      </c>
      <c r="C56" s="5">
        <v>4000</v>
      </c>
    </row>
    <row r="57" spans="2:21" ht="30" x14ac:dyDescent="0.25">
      <c r="B57" s="2" t="s">
        <v>100</v>
      </c>
      <c r="C57" s="10">
        <v>10000000</v>
      </c>
    </row>
    <row r="58" spans="2:21" ht="30" x14ac:dyDescent="0.25">
      <c r="B58" s="2" t="s">
        <v>101</v>
      </c>
      <c r="C58" s="10">
        <v>100000</v>
      </c>
    </row>
    <row r="60" spans="2:21" x14ac:dyDescent="0.25">
      <c r="B60" s="12" t="s">
        <v>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zoomScale="90" zoomScaleNormal="90" workbookViewId="0">
      <pane xSplit="1" topLeftCell="B1" activePane="topRight" state="frozen"/>
      <selection pane="topRight" activeCell="A11" sqref="A11:XFD11"/>
    </sheetView>
  </sheetViews>
  <sheetFormatPr defaultRowHeight="15" x14ac:dyDescent="0.25"/>
  <cols>
    <col min="1" max="1" width="15.85546875" style="28" customWidth="1"/>
    <col min="2" max="2" width="14.7109375" style="27" bestFit="1" customWidth="1"/>
    <col min="3" max="4" width="9.42578125" style="27" bestFit="1" customWidth="1"/>
  </cols>
  <sheetData>
    <row r="1" spans="1:14" ht="75" x14ac:dyDescent="0.25">
      <c r="A1" s="1" t="s">
        <v>70</v>
      </c>
      <c r="B1" s="23" t="s">
        <v>41</v>
      </c>
      <c r="C1" s="23" t="s">
        <v>42</v>
      </c>
      <c r="D1" s="23" t="s">
        <v>19</v>
      </c>
      <c r="E1" s="23" t="s">
        <v>127</v>
      </c>
      <c r="F1" s="23" t="s">
        <v>121</v>
      </c>
      <c r="G1" s="23" t="s">
        <v>126</v>
      </c>
      <c r="I1" s="23" t="s">
        <v>125</v>
      </c>
      <c r="J1" s="23" t="s">
        <v>124</v>
      </c>
      <c r="K1" s="23" t="s">
        <v>123</v>
      </c>
      <c r="L1" s="23" t="s">
        <v>122</v>
      </c>
      <c r="M1" s="23" t="s">
        <v>121</v>
      </c>
      <c r="N1" s="23" t="s">
        <v>120</v>
      </c>
    </row>
    <row r="2" spans="1:14" x14ac:dyDescent="0.25">
      <c r="A2" s="1" t="s">
        <v>71</v>
      </c>
      <c r="B2" s="2" t="s">
        <v>23</v>
      </c>
      <c r="C2" s="2" t="s">
        <v>23</v>
      </c>
      <c r="D2" s="2" t="s">
        <v>23</v>
      </c>
    </row>
    <row r="3" spans="1:14" x14ac:dyDescent="0.25">
      <c r="A3" s="2" t="s">
        <v>0</v>
      </c>
      <c r="B3" s="5">
        <v>0</v>
      </c>
      <c r="C3" s="5">
        <v>0</v>
      </c>
      <c r="D3" s="5">
        <v>0</v>
      </c>
      <c r="H3">
        <v>0</v>
      </c>
      <c r="J3" s="5">
        <v>696342</v>
      </c>
      <c r="K3" s="5">
        <f>J3*2</f>
        <v>1392684</v>
      </c>
      <c r="L3" s="10">
        <f>(J3*3.14)*2</f>
        <v>4373027.76</v>
      </c>
      <c r="M3" s="29">
        <f>L3/10000</f>
        <v>437.30277599999999</v>
      </c>
      <c r="N3">
        <v>3</v>
      </c>
    </row>
    <row r="4" spans="1:14" x14ac:dyDescent="0.25">
      <c r="A4" s="2" t="s">
        <v>1</v>
      </c>
      <c r="B4" s="10">
        <v>69816000</v>
      </c>
      <c r="C4" s="10">
        <v>46001200</v>
      </c>
      <c r="D4" s="10">
        <v>57909050</v>
      </c>
      <c r="E4" s="30">
        <f>AVERAGE(B4:D4)</f>
        <v>57908750</v>
      </c>
      <c r="F4" s="29">
        <f>E4/10000000</f>
        <v>5.7908749999999998</v>
      </c>
      <c r="G4" s="31">
        <v>1</v>
      </c>
      <c r="H4">
        <v>1</v>
      </c>
      <c r="I4">
        <f>H3+N3+H4</f>
        <v>4</v>
      </c>
      <c r="J4" s="5">
        <v>2440</v>
      </c>
      <c r="K4" s="5">
        <f>J4*2</f>
        <v>4880</v>
      </c>
      <c r="L4" s="10">
        <f>(J4*3.14)*2</f>
        <v>15323.2</v>
      </c>
      <c r="M4" s="29">
        <f>L4/10000</f>
        <v>1.5323200000000001</v>
      </c>
      <c r="N4">
        <v>1</v>
      </c>
    </row>
    <row r="5" spans="1:14" x14ac:dyDescent="0.25">
      <c r="A5" s="2" t="s">
        <v>2</v>
      </c>
      <c r="B5" s="10">
        <v>108000000</v>
      </c>
      <c r="C5" s="10">
        <v>107000000</v>
      </c>
      <c r="D5" s="10">
        <v>108000000</v>
      </c>
      <c r="E5" s="30">
        <f>AVERAGE(B5:D5)</f>
        <v>107666666.66666667</v>
      </c>
      <c r="F5" s="29">
        <f>E5/10000000</f>
        <v>10.766666666666667</v>
      </c>
      <c r="G5" s="31">
        <v>2</v>
      </c>
      <c r="H5">
        <v>3</v>
      </c>
      <c r="I5">
        <f>H4+N4+H5</f>
        <v>5</v>
      </c>
      <c r="J5" s="5">
        <v>6051</v>
      </c>
      <c r="K5" s="5">
        <f>J5*2</f>
        <v>12102</v>
      </c>
      <c r="L5" s="10">
        <f>(J5*3.14)*2</f>
        <v>38000.28</v>
      </c>
      <c r="M5" s="29">
        <f>L5/10000</f>
        <v>3.8000279999999997</v>
      </c>
      <c r="N5">
        <v>1</v>
      </c>
    </row>
    <row r="6" spans="1:14" x14ac:dyDescent="0.25">
      <c r="A6" s="2" t="s">
        <v>4</v>
      </c>
      <c r="B6" s="10">
        <v>152090000</v>
      </c>
      <c r="C6" s="10">
        <v>147090000</v>
      </c>
      <c r="D6" s="10">
        <v>149590000</v>
      </c>
      <c r="E6" s="30">
        <f>AVERAGE(B6:D6)</f>
        <v>149590000</v>
      </c>
      <c r="F6" s="29">
        <f>E6/10000000</f>
        <v>14.959</v>
      </c>
      <c r="G6" s="31">
        <v>2</v>
      </c>
      <c r="H6">
        <v>5</v>
      </c>
      <c r="I6">
        <f>H5+N5+H6</f>
        <v>9</v>
      </c>
      <c r="J6" s="5">
        <v>6370</v>
      </c>
      <c r="K6" s="5">
        <f>J6*2</f>
        <v>12740</v>
      </c>
      <c r="L6" s="10">
        <f>(J6*3.14)*2</f>
        <v>40003.599999999999</v>
      </c>
      <c r="M6" s="29">
        <f>L6/10000</f>
        <v>4.0003599999999997</v>
      </c>
      <c r="N6">
        <v>1</v>
      </c>
    </row>
    <row r="7" spans="1:14" x14ac:dyDescent="0.25">
      <c r="A7" s="2" t="s">
        <v>3</v>
      </c>
      <c r="B7" s="10">
        <v>249000000</v>
      </c>
      <c r="C7" s="10">
        <v>206000000</v>
      </c>
      <c r="D7" s="10">
        <v>227000000</v>
      </c>
      <c r="E7" s="30">
        <f>AVERAGE(B7:D7)</f>
        <v>227333333.33333334</v>
      </c>
      <c r="F7" s="29">
        <f>E7/10000000</f>
        <v>22.733333333333334</v>
      </c>
      <c r="G7" s="31">
        <v>2</v>
      </c>
      <c r="H7">
        <v>7</v>
      </c>
      <c r="I7">
        <f>H6+N6+H7</f>
        <v>13</v>
      </c>
      <c r="J7" s="5">
        <v>3389</v>
      </c>
      <c r="K7" s="5">
        <f>J7*2</f>
        <v>6778</v>
      </c>
      <c r="L7" s="10">
        <f>(J7*3.14)*2</f>
        <v>21282.920000000002</v>
      </c>
      <c r="M7" s="29">
        <f>L7/10000</f>
        <v>2.1282920000000001</v>
      </c>
      <c r="N7">
        <v>1</v>
      </c>
    </row>
    <row r="8" spans="1:14" ht="30" x14ac:dyDescent="0.25">
      <c r="A8" s="2" t="s">
        <v>6</v>
      </c>
      <c r="B8" s="10">
        <v>418000000</v>
      </c>
      <c r="C8" s="10">
        <v>418000000</v>
      </c>
      <c r="D8" s="10">
        <v>418000000</v>
      </c>
      <c r="E8" s="30">
        <f>AVERAGE(B8:D8)</f>
        <v>418000000</v>
      </c>
      <c r="F8" s="29">
        <f>E8/10000000</f>
        <v>41.8</v>
      </c>
      <c r="G8" s="31">
        <v>2</v>
      </c>
      <c r="H8">
        <v>9</v>
      </c>
      <c r="I8">
        <f>H7+N7+H8</f>
        <v>17</v>
      </c>
      <c r="L8" s="30"/>
      <c r="M8" s="29"/>
    </row>
    <row r="9" spans="1:14" x14ac:dyDescent="0.25">
      <c r="A9" s="2" t="s">
        <v>7</v>
      </c>
      <c r="B9" s="10">
        <v>816000000</v>
      </c>
      <c r="C9" s="10">
        <v>740000000</v>
      </c>
      <c r="D9" s="10">
        <v>778000000</v>
      </c>
      <c r="E9" s="30">
        <f>AVERAGE(B9:D9)</f>
        <v>778000000</v>
      </c>
      <c r="F9" s="29">
        <f>E9/10000000</f>
        <v>77.8</v>
      </c>
      <c r="G9" s="31">
        <v>2</v>
      </c>
      <c r="H9">
        <v>11</v>
      </c>
      <c r="I9">
        <f>H8+N8+H9</f>
        <v>20</v>
      </c>
      <c r="J9" s="5">
        <v>69911</v>
      </c>
      <c r="K9" s="5">
        <f>J9*2</f>
        <v>139822</v>
      </c>
      <c r="L9" s="10">
        <f>(J9*3.14)*2</f>
        <v>439041.08</v>
      </c>
      <c r="M9" s="29">
        <f>L9/10000</f>
        <v>43.904108000000001</v>
      </c>
      <c r="N9">
        <v>2</v>
      </c>
    </row>
    <row r="10" spans="1:14" x14ac:dyDescent="0.25">
      <c r="A10" s="2" t="s">
        <v>8</v>
      </c>
      <c r="B10" s="10">
        <v>1513000000</v>
      </c>
      <c r="C10" s="10">
        <v>1353000000</v>
      </c>
      <c r="D10" s="10">
        <v>1433000000</v>
      </c>
      <c r="E10" s="30">
        <f>AVERAGE(B10:D10)</f>
        <v>1433000000</v>
      </c>
      <c r="F10" s="29">
        <f>E10/10000000</f>
        <v>143.30000000000001</v>
      </c>
      <c r="G10" s="31">
        <v>3</v>
      </c>
      <c r="H10">
        <v>14</v>
      </c>
      <c r="I10">
        <f>H9+N9+H10</f>
        <v>27</v>
      </c>
      <c r="J10" s="5">
        <v>58232</v>
      </c>
      <c r="K10" s="5">
        <f>J10*2</f>
        <v>116464</v>
      </c>
      <c r="L10" s="10">
        <f>(J10*3.14)*2</f>
        <v>365696.96</v>
      </c>
      <c r="M10" s="29">
        <f>L10/10000</f>
        <v>36.569696</v>
      </c>
      <c r="N10">
        <v>2</v>
      </c>
    </row>
    <row r="11" spans="1:14" x14ac:dyDescent="0.25">
      <c r="A11" s="2" t="s">
        <v>10</v>
      </c>
      <c r="B11" s="10">
        <v>3040000000</v>
      </c>
      <c r="C11" s="10">
        <v>2700000000</v>
      </c>
      <c r="D11" s="10">
        <v>2876000000</v>
      </c>
      <c r="E11" s="30">
        <f>AVERAGE(B11:D11)</f>
        <v>2872000000</v>
      </c>
      <c r="F11" s="29">
        <f>E11/10000000</f>
        <v>287.2</v>
      </c>
      <c r="G11" s="31">
        <v>3</v>
      </c>
      <c r="H11">
        <v>17</v>
      </c>
      <c r="I11">
        <f>H10+N10+H11</f>
        <v>33</v>
      </c>
      <c r="J11" s="5">
        <v>25362</v>
      </c>
      <c r="K11" s="5">
        <f>J11*2</f>
        <v>50724</v>
      </c>
      <c r="L11" s="10">
        <f>(J11*3.14)*2</f>
        <v>159273.36000000002</v>
      </c>
      <c r="M11" s="29">
        <f>L11/10000</f>
        <v>15.927336000000002</v>
      </c>
      <c r="N11">
        <v>2</v>
      </c>
    </row>
    <row r="12" spans="1:14" x14ac:dyDescent="0.25">
      <c r="A12" s="2" t="s">
        <v>9</v>
      </c>
      <c r="B12" s="10">
        <v>4553900000</v>
      </c>
      <c r="C12" s="10">
        <v>4452900000</v>
      </c>
      <c r="D12" s="10">
        <v>4503000000</v>
      </c>
      <c r="E12" s="30">
        <f>AVERAGE(B12:D12)</f>
        <v>4503266666.666667</v>
      </c>
      <c r="F12" s="29">
        <f>E12/10000000</f>
        <v>450.32666666666671</v>
      </c>
      <c r="G12" s="31">
        <v>3</v>
      </c>
      <c r="H12">
        <v>20</v>
      </c>
      <c r="I12">
        <f>H11+N11+H12</f>
        <v>39</v>
      </c>
      <c r="J12" s="5">
        <v>24622</v>
      </c>
      <c r="K12" s="5">
        <f>J12*2</f>
        <v>49244</v>
      </c>
      <c r="L12" s="10">
        <f>(J12*3.14)*2</f>
        <v>154626.16</v>
      </c>
      <c r="M12" s="29">
        <f>L12/10000</f>
        <v>15.462616000000001</v>
      </c>
      <c r="N12">
        <v>2</v>
      </c>
    </row>
    <row r="13" spans="1:14" x14ac:dyDescent="0.25">
      <c r="A13" s="2" t="s">
        <v>20</v>
      </c>
      <c r="B13" s="5" t="s">
        <v>46</v>
      </c>
      <c r="C13" s="5" t="s">
        <v>46</v>
      </c>
      <c r="D13" s="10">
        <v>6200000000</v>
      </c>
      <c r="E13" s="30">
        <f>AVERAGE(B13:D13)</f>
        <v>6200000000</v>
      </c>
      <c r="F13" s="29">
        <f>E13/10000000</f>
        <v>620</v>
      </c>
      <c r="G13" s="31">
        <v>3</v>
      </c>
      <c r="H13">
        <v>23</v>
      </c>
      <c r="I13">
        <f>H12+N12+H13</f>
        <v>45</v>
      </c>
      <c r="L13" s="30"/>
      <c r="M13" s="29"/>
    </row>
    <row r="16" spans="1:14" x14ac:dyDescent="0.25">
      <c r="B16" s="27" t="s">
        <v>119</v>
      </c>
    </row>
    <row r="17" spans="2:2" x14ac:dyDescent="0.25">
      <c r="B17" s="27" t="s">
        <v>118</v>
      </c>
    </row>
    <row r="18" spans="2:2" x14ac:dyDescent="0.25">
      <c r="B18" s="27" t="s">
        <v>117</v>
      </c>
    </row>
    <row r="19" spans="2:2" x14ac:dyDescent="0.25">
      <c r="B19" s="27" t="s">
        <v>116</v>
      </c>
    </row>
    <row r="20" spans="2:2" x14ac:dyDescent="0.25">
      <c r="B20" s="2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Bodies</vt:lpstr>
      <vt:lpstr>Sheet1</vt:lpstr>
    </vt:vector>
  </TitlesOfParts>
  <Company>Fifth Column Industries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Madden</dc:creator>
  <cp:lastModifiedBy>Josh Madden</cp:lastModifiedBy>
  <dcterms:created xsi:type="dcterms:W3CDTF">2014-05-24T02:26:03Z</dcterms:created>
  <dcterms:modified xsi:type="dcterms:W3CDTF">2014-11-01T20:27:52Z</dcterms:modified>
</cp:coreProperties>
</file>